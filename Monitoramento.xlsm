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amfi\"/>
    </mc:Choice>
  </mc:AlternateContent>
  <xr:revisionPtr revIDLastSave="0" documentId="13_ncr:1_{334BDD6A-482F-4D31-BA75-DF3806CB5D52}" xr6:coauthVersionLast="47" xr6:coauthVersionMax="47" xr10:uidLastSave="{00000000-0000-0000-0000-000000000000}"/>
  <bookViews>
    <workbookView xWindow="-98" yWindow="-98" windowWidth="19396" windowHeight="11475" tabRatio="500" activeTab="1" xr2:uid="{00000000-000D-0000-FFFF-FFFF00000000}"/>
  </bookViews>
  <sheets>
    <sheet name="Dashboard" sheetId="4" r:id="rId1"/>
    <sheet name="Analysis" sheetId="5" r:id="rId2"/>
    <sheet name="aux" sheetId="3" r:id="rId3"/>
    <sheet name="_xlwings.conf" sheetId="2" r:id="rId4"/>
  </sheets>
  <functionGroups builtInGroupCount="19">
    <functionGroup name="xlwings"/>
  </functionGroups>
  <definedNames>
    <definedName name="_xlnm._FilterDatabase" localSheetId="0" hidden="1">Dashboard!$A$1:$Q$43</definedName>
    <definedName name="_xleta.IF" hidden="1" xlm="1">#NAME?</definedName>
    <definedName name="_xleta.T" hidden="1" xlm="1">#NAME?</definedName>
    <definedName name="dahsboard_header">Dashboard!$1:$1</definedName>
    <definedName name="dashboard">Dashboard!$A:$Q</definedName>
    <definedName name="dashboard_filepath">aux!$D$2</definedName>
    <definedName name="dtRef">Analysis!$C$3</definedName>
    <definedName name="ignore_lst">aux!$D$7:$D$15</definedName>
    <definedName name="pools_list">OFFSET(aux!$A$2,0,0,COUNTA(aux!$A:$A)-1,1)</definedName>
    <definedName name="portfolio_filepath">aux!$D$3</definedName>
    <definedName name="selected_pool">Analysis!$C$5</definedName>
  </definedNames>
  <calcPr calcId="191029"/>
  <extLst>
    <ext xmlns:x14="http://schemas.microsoft.com/office/spreadsheetml/2009/9/main" uri="{8193D73E-4604-4355-AFF4-8A2333D13BE4}">
      <x14:definedNames>
        <x14:definedName name="AmfiCalcularAdicionalI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mfiCalcularI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CalcularJ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CheckPoolJSON">
          <x14:argumentDescriptions count="1">
            <x14:argumentDescription index="0">Positional argument 1</x14:argumentDescription>
          </x14:argumentDescriptions>
        </x14:definedName>
        <x14:definedName name="AmfiConcentraca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AmfiConcentracaoSaf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AmfiDashboar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mfiDebugGroup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DebugPoo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mFiReadJS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mfiXLS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learCache">
          <x14:argumentDescriptions count="1">
            <x14:argumentDescription index="0">Positional argument 1</x14:argumentDescription>
          </x14:argumentDescriptions>
        </x14:definedName>
        <x14:definedName name="ClearJSONCache">
          <x14:argumentDescriptions count="1">
            <x14:argumentDescription index="0">Positional argument 1</x14:argumentDescription>
          </x14:argumentDescriptions>
        </x14:definedName>
        <x14:definedName name="ClearUDFCache">
          <x14:argumentDescriptions count="1">
            <x14:argumentDescription index="0">Positional argument 1</x14:argumentDescription>
          </x14:argumentDescriptions>
        </x14:definedName>
        <x14:definedName name="consultar_oportunidad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listar_pools">
          <x14:argumentDescriptions count="1">
            <x14:argumentDescription index="0">Positional argument 1</x14:argumentDescription>
          </x14:argumentDescriptions>
        </x14:definedName>
        <x14:definedName name="ListPoo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ar_arquivo">
          <x14:argumentDescriptions count="1">
            <x14:argumentDescription index="0">Positional argument 1</x14:argumentDescription>
          </x14:argumentDescriptions>
        </x14:definedName>
        <x14:definedName name="TestDateJSO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9" i="5" l="1"/>
  <c r="C18" i="5"/>
  <c r="C17" i="5"/>
  <c r="B22" i="5"/>
  <c r="B20" i="5"/>
  <c r="C3" i="5"/>
  <c r="C49" i="4" a="1"/>
  <c r="A2" i="3" a="1"/>
  <c r="A1" i="4" a="1"/>
  <c r="D2" i="3" a="1"/>
  <c r="D3" i="3" a="1"/>
  <c r="K3" i="5" a="1"/>
  <c r="Q3" i="5" a="1"/>
  <c r="K17" i="5" a="1"/>
  <c r="F3" i="5" a="1"/>
  <c r="K3" i="5" l="1"/>
  <c r="N4" i="5"/>
  <c r="L6" i="5"/>
  <c r="O7" i="5"/>
  <c r="M9" i="5"/>
  <c r="K5" i="5"/>
  <c r="N6" i="5"/>
  <c r="O9" i="5"/>
  <c r="L5" i="5"/>
  <c r="M8" i="5"/>
  <c r="O3" i="5"/>
  <c r="M5" i="5"/>
  <c r="K7" i="5"/>
  <c r="N8" i="5"/>
  <c r="K4" i="5"/>
  <c r="N5" i="5"/>
  <c r="L7" i="5"/>
  <c r="O8" i="5"/>
  <c r="L4" i="5"/>
  <c r="O5" i="5"/>
  <c r="M7" i="5"/>
  <c r="K9" i="5"/>
  <c r="M4" i="5"/>
  <c r="K6" i="5"/>
  <c r="N7" i="5"/>
  <c r="L9" i="5"/>
  <c r="L3" i="5"/>
  <c r="O4" i="5"/>
  <c r="M6" i="5"/>
  <c r="K8" i="5"/>
  <c r="N9" i="5"/>
  <c r="M3" i="5"/>
  <c r="L8" i="5"/>
  <c r="N3" i="5"/>
  <c r="O6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W3" i="5"/>
  <c r="W4" i="5"/>
  <c r="W5" i="5"/>
  <c r="W6" i="5"/>
  <c r="W7" i="5"/>
  <c r="W8" i="5"/>
  <c r="W9" i="5"/>
  <c r="R3" i="5"/>
  <c r="T5" i="5"/>
  <c r="S8" i="5"/>
  <c r="W10" i="5"/>
  <c r="W12" i="5"/>
  <c r="W14" i="5"/>
  <c r="W16" i="5"/>
  <c r="W18" i="5"/>
  <c r="W20" i="5"/>
  <c r="W22" i="5"/>
  <c r="W24" i="5"/>
  <c r="T26" i="5"/>
  <c r="R28" i="5"/>
  <c r="W29" i="5"/>
  <c r="S31" i="5"/>
  <c r="X32" i="5"/>
  <c r="T34" i="5"/>
  <c r="R36" i="5"/>
  <c r="W37" i="5"/>
  <c r="S39" i="5"/>
  <c r="X40" i="5"/>
  <c r="T3" i="5"/>
  <c r="S13" i="5"/>
  <c r="S17" i="5"/>
  <c r="S21" i="5"/>
  <c r="S25" i="5"/>
  <c r="T28" i="5"/>
  <c r="W31" i="5"/>
  <c r="X34" i="5"/>
  <c r="R38" i="5"/>
  <c r="S41" i="5"/>
  <c r="T6" i="5"/>
  <c r="S9" i="5"/>
  <c r="T13" i="5"/>
  <c r="T17" i="5"/>
  <c r="T21" i="5"/>
  <c r="T25" i="5"/>
  <c r="W28" i="5"/>
  <c r="X31" i="5"/>
  <c r="R35" i="5"/>
  <c r="S38" i="5"/>
  <c r="T41" i="5"/>
  <c r="R7" i="5"/>
  <c r="W11" i="5"/>
  <c r="W15" i="5"/>
  <c r="W19" i="5"/>
  <c r="W23" i="5"/>
  <c r="S27" i="5"/>
  <c r="T30" i="5"/>
  <c r="W33" i="5"/>
  <c r="X36" i="5"/>
  <c r="R40" i="5"/>
  <c r="T4" i="5"/>
  <c r="R10" i="5"/>
  <c r="R14" i="5"/>
  <c r="R18" i="5"/>
  <c r="R22" i="5"/>
  <c r="X25" i="5"/>
  <c r="R29" i="5"/>
  <c r="S32" i="5"/>
  <c r="T35" i="5"/>
  <c r="W38" i="5"/>
  <c r="X41" i="5"/>
  <c r="T7" i="5"/>
  <c r="S10" i="5"/>
  <c r="S14" i="5"/>
  <c r="S16" i="5"/>
  <c r="S20" i="5"/>
  <c r="S24" i="5"/>
  <c r="W27" i="5"/>
  <c r="X30" i="5"/>
  <c r="R34" i="5"/>
  <c r="S37" i="5"/>
  <c r="T40" i="5"/>
  <c r="S5" i="5"/>
  <c r="T14" i="5"/>
  <c r="T18" i="5"/>
  <c r="T22" i="5"/>
  <c r="S26" i="5"/>
  <c r="R31" i="5"/>
  <c r="T37" i="5"/>
  <c r="S3" i="5"/>
  <c r="R6" i="5"/>
  <c r="T8" i="5"/>
  <c r="R11" i="5"/>
  <c r="R13" i="5"/>
  <c r="R15" i="5"/>
  <c r="R17" i="5"/>
  <c r="R19" i="5"/>
  <c r="R21" i="5"/>
  <c r="R23" i="5"/>
  <c r="R25" i="5"/>
  <c r="W26" i="5"/>
  <c r="S28" i="5"/>
  <c r="X29" i="5"/>
  <c r="T31" i="5"/>
  <c r="R33" i="5"/>
  <c r="W34" i="5"/>
  <c r="S36" i="5"/>
  <c r="X37" i="5"/>
  <c r="T39" i="5"/>
  <c r="R41" i="5"/>
  <c r="S6" i="5"/>
  <c r="S11" i="5"/>
  <c r="S15" i="5"/>
  <c r="S19" i="5"/>
  <c r="S23" i="5"/>
  <c r="X26" i="5"/>
  <c r="R30" i="5"/>
  <c r="S33" i="5"/>
  <c r="T36" i="5"/>
  <c r="W39" i="5"/>
  <c r="R4" i="5"/>
  <c r="T11" i="5"/>
  <c r="T15" i="5"/>
  <c r="T19" i="5"/>
  <c r="T23" i="5"/>
  <c r="R27" i="5"/>
  <c r="S30" i="5"/>
  <c r="T33" i="5"/>
  <c r="W36" i="5"/>
  <c r="X39" i="5"/>
  <c r="S4" i="5"/>
  <c r="T9" i="5"/>
  <c r="W13" i="5"/>
  <c r="W17" i="5"/>
  <c r="W21" i="5"/>
  <c r="W25" i="5"/>
  <c r="X28" i="5"/>
  <c r="R32" i="5"/>
  <c r="S35" i="5"/>
  <c r="T38" i="5"/>
  <c r="W41" i="5"/>
  <c r="S7" i="5"/>
  <c r="R12" i="5"/>
  <c r="R16" i="5"/>
  <c r="R20" i="5"/>
  <c r="R24" i="5"/>
  <c r="T27" i="5"/>
  <c r="W30" i="5"/>
  <c r="X33" i="5"/>
  <c r="R37" i="5"/>
  <c r="S40" i="5"/>
  <c r="R5" i="5"/>
  <c r="S12" i="5"/>
  <c r="S18" i="5"/>
  <c r="S22" i="5"/>
  <c r="R26" i="5"/>
  <c r="S29" i="5"/>
  <c r="T32" i="5"/>
  <c r="W35" i="5"/>
  <c r="X38" i="5"/>
  <c r="R8" i="5"/>
  <c r="T16" i="5"/>
  <c r="T20" i="5"/>
  <c r="X27" i="5"/>
  <c r="W32" i="5"/>
  <c r="R39" i="5"/>
  <c r="R9" i="5"/>
  <c r="T12" i="5"/>
  <c r="T24" i="5"/>
  <c r="S34" i="5"/>
  <c r="W40" i="5"/>
  <c r="T29" i="5"/>
  <c r="T10" i="5"/>
  <c r="X35" i="5"/>
  <c r="K17" i="5"/>
  <c r="N18" i="5"/>
  <c r="L20" i="5"/>
  <c r="O21" i="5"/>
  <c r="M23" i="5"/>
  <c r="K25" i="5"/>
  <c r="N26" i="5"/>
  <c r="L28" i="5"/>
  <c r="O29" i="5"/>
  <c r="M31" i="5"/>
  <c r="K33" i="5"/>
  <c r="N34" i="5"/>
  <c r="L36" i="5"/>
  <c r="O37" i="5"/>
  <c r="M39" i="5"/>
  <c r="K41" i="5"/>
  <c r="N42" i="5"/>
  <c r="O42" i="5"/>
  <c r="L27" i="5"/>
  <c r="O36" i="5"/>
  <c r="L43" i="5"/>
  <c r="N22" i="5"/>
  <c r="K29" i="5"/>
  <c r="K37" i="5"/>
  <c r="M43" i="5"/>
  <c r="L21" i="5"/>
  <c r="L29" i="5"/>
  <c r="L37" i="5"/>
  <c r="N43" i="5"/>
  <c r="N24" i="5"/>
  <c r="N32" i="5"/>
  <c r="K39" i="5"/>
  <c r="M18" i="5"/>
  <c r="M26" i="5"/>
  <c r="M34" i="5"/>
  <c r="O40" i="5"/>
  <c r="L17" i="5"/>
  <c r="O18" i="5"/>
  <c r="M20" i="5"/>
  <c r="K22" i="5"/>
  <c r="N23" i="5"/>
  <c r="L25" i="5"/>
  <c r="O26" i="5"/>
  <c r="M28" i="5"/>
  <c r="K30" i="5"/>
  <c r="N31" i="5"/>
  <c r="L33" i="5"/>
  <c r="O34" i="5"/>
  <c r="M36" i="5"/>
  <c r="K38" i="5"/>
  <c r="N39" i="5"/>
  <c r="L41" i="5"/>
  <c r="K32" i="5"/>
  <c r="K40" i="5"/>
  <c r="K21" i="5"/>
  <c r="N30" i="5"/>
  <c r="O41" i="5"/>
  <c r="M24" i="5"/>
  <c r="O30" i="5"/>
  <c r="O38" i="5"/>
  <c r="K23" i="5"/>
  <c r="K31" i="5"/>
  <c r="N40" i="5"/>
  <c r="O24" i="5"/>
  <c r="L31" i="5"/>
  <c r="L39" i="5"/>
  <c r="M17" i="5"/>
  <c r="K19" i="5"/>
  <c r="N20" i="5"/>
  <c r="L22" i="5"/>
  <c r="O23" i="5"/>
  <c r="M25" i="5"/>
  <c r="K27" i="5"/>
  <c r="N28" i="5"/>
  <c r="L30" i="5"/>
  <c r="O31" i="5"/>
  <c r="M33" i="5"/>
  <c r="K35" i="5"/>
  <c r="N36" i="5"/>
  <c r="L38" i="5"/>
  <c r="O39" i="5"/>
  <c r="M41" i="5"/>
  <c r="K43" i="5"/>
  <c r="M22" i="5"/>
  <c r="O28" i="5"/>
  <c r="N33" i="5"/>
  <c r="M38" i="5"/>
  <c r="M19" i="5"/>
  <c r="M27" i="5"/>
  <c r="O33" i="5"/>
  <c r="N38" i="5"/>
  <c r="K18" i="5"/>
  <c r="K26" i="5"/>
  <c r="M32" i="5"/>
  <c r="K42" i="5"/>
  <c r="M21" i="5"/>
  <c r="L26" i="5"/>
  <c r="L34" i="5"/>
  <c r="L42" i="5"/>
  <c r="N21" i="5"/>
  <c r="N29" i="5"/>
  <c r="N37" i="5"/>
  <c r="N17" i="5"/>
  <c r="L19" i="5"/>
  <c r="O20" i="5"/>
  <c r="K24" i="5"/>
  <c r="N25" i="5"/>
  <c r="M30" i="5"/>
  <c r="L35" i="5"/>
  <c r="N41" i="5"/>
  <c r="O25" i="5"/>
  <c r="L32" i="5"/>
  <c r="L40" i="5"/>
  <c r="N19" i="5"/>
  <c r="N27" i="5"/>
  <c r="K34" i="5"/>
  <c r="M40" i="5"/>
  <c r="O19" i="5"/>
  <c r="M29" i="5"/>
  <c r="O35" i="5"/>
  <c r="O43" i="5"/>
  <c r="L23" i="5"/>
  <c r="K28" i="5"/>
  <c r="K36" i="5"/>
  <c r="M42" i="5"/>
  <c r="O17" i="5"/>
  <c r="L24" i="5"/>
  <c r="M35" i="5"/>
  <c r="O22" i="5"/>
  <c r="N35" i="5"/>
  <c r="L18" i="5"/>
  <c r="O27" i="5"/>
  <c r="M37" i="5"/>
  <c r="K20" i="5"/>
  <c r="O32" i="5"/>
  <c r="D52" i="4"/>
  <c r="D56" i="4"/>
  <c r="D60" i="4"/>
  <c r="C53" i="4"/>
  <c r="C57" i="4"/>
  <c r="D50" i="4"/>
  <c r="D54" i="4"/>
  <c r="D58" i="4"/>
  <c r="C51" i="4"/>
  <c r="C55" i="4"/>
  <c r="C59" i="4"/>
  <c r="D51" i="4"/>
  <c r="D55" i="4"/>
  <c r="D59" i="4"/>
  <c r="C52" i="4"/>
  <c r="C56" i="4"/>
  <c r="C49" i="4"/>
  <c r="D49" i="4"/>
  <c r="D53" i="4"/>
  <c r="D57" i="4"/>
  <c r="C50" i="4"/>
  <c r="C54" i="4"/>
  <c r="C58" i="4"/>
  <c r="C60" i="4"/>
  <c r="A2" i="3"/>
  <c r="A10" i="3"/>
  <c r="A18" i="3"/>
  <c r="A26" i="3"/>
  <c r="A34" i="3"/>
  <c r="A42" i="3"/>
  <c r="A4" i="3"/>
  <c r="A20" i="3"/>
  <c r="A36" i="3"/>
  <c r="A5" i="3"/>
  <c r="A13" i="3"/>
  <c r="A21" i="3"/>
  <c r="A29" i="3"/>
  <c r="A37" i="3"/>
  <c r="A6" i="3"/>
  <c r="A14" i="3"/>
  <c r="A22" i="3"/>
  <c r="A30" i="3"/>
  <c r="A38" i="3"/>
  <c r="A7" i="3"/>
  <c r="A15" i="3"/>
  <c r="A23" i="3"/>
  <c r="A31" i="3"/>
  <c r="A39" i="3"/>
  <c r="A8" i="3"/>
  <c r="A16" i="3"/>
  <c r="A24" i="3"/>
  <c r="A32" i="3"/>
  <c r="A40" i="3"/>
  <c r="A9" i="3"/>
  <c r="A17" i="3"/>
  <c r="A25" i="3"/>
  <c r="A33" i="3"/>
  <c r="A41" i="3"/>
  <c r="A3" i="3"/>
  <c r="A11" i="3"/>
  <c r="A19" i="3"/>
  <c r="A27" i="3"/>
  <c r="A35" i="3"/>
  <c r="A43" i="3"/>
  <c r="A12" i="3"/>
  <c r="A28" i="3"/>
  <c r="H1" i="4"/>
  <c r="P1" i="4"/>
  <c r="G2" i="4"/>
  <c r="O2" i="4"/>
  <c r="F3" i="4"/>
  <c r="N3" i="4"/>
  <c r="E4" i="4"/>
  <c r="M4" i="4"/>
  <c r="D5" i="4"/>
  <c r="L5" i="4"/>
  <c r="C6" i="4"/>
  <c r="K6" i="4"/>
  <c r="B7" i="4"/>
  <c r="J7" i="4"/>
  <c r="A8" i="4"/>
  <c r="I8" i="4"/>
  <c r="Q8" i="4"/>
  <c r="H9" i="4"/>
  <c r="P9" i="4"/>
  <c r="G10" i="4"/>
  <c r="O10" i="4"/>
  <c r="F11" i="4"/>
  <c r="N11" i="4"/>
  <c r="E12" i="4"/>
  <c r="M12" i="4"/>
  <c r="D13" i="4"/>
  <c r="L13" i="4"/>
  <c r="C14" i="4"/>
  <c r="K14" i="4"/>
  <c r="B15" i="4"/>
  <c r="J15" i="4"/>
  <c r="A16" i="4"/>
  <c r="I16" i="4"/>
  <c r="Q16" i="4"/>
  <c r="H17" i="4"/>
  <c r="P17" i="4"/>
  <c r="G18" i="4"/>
  <c r="O18" i="4"/>
  <c r="F19" i="4"/>
  <c r="N19" i="4"/>
  <c r="E20" i="4"/>
  <c r="M20" i="4"/>
  <c r="D21" i="4"/>
  <c r="L21" i="4"/>
  <c r="C22" i="4"/>
  <c r="K22" i="4"/>
  <c r="B23" i="4"/>
  <c r="J23" i="4"/>
  <c r="A24" i="4"/>
  <c r="I24" i="4"/>
  <c r="Q24" i="4"/>
  <c r="H25" i="4"/>
  <c r="P25" i="4"/>
  <c r="G26" i="4"/>
  <c r="O26" i="4"/>
  <c r="F27" i="4"/>
  <c r="A1" i="4"/>
  <c r="I1" i="4"/>
  <c r="Q1" i="4"/>
  <c r="H2" i="4"/>
  <c r="P2" i="4"/>
  <c r="G3" i="4"/>
  <c r="O3" i="4"/>
  <c r="F4" i="4"/>
  <c r="N4" i="4"/>
  <c r="E5" i="4"/>
  <c r="M5" i="4"/>
  <c r="D6" i="4"/>
  <c r="L6" i="4"/>
  <c r="C7" i="4"/>
  <c r="K7" i="4"/>
  <c r="B8" i="4"/>
  <c r="J8" i="4"/>
  <c r="A9" i="4"/>
  <c r="I9" i="4"/>
  <c r="Q9" i="4"/>
  <c r="H10" i="4"/>
  <c r="P10" i="4"/>
  <c r="G11" i="4"/>
  <c r="O11" i="4"/>
  <c r="F12" i="4"/>
  <c r="N12" i="4"/>
  <c r="E13" i="4"/>
  <c r="M13" i="4"/>
  <c r="D14" i="4"/>
  <c r="L14" i="4"/>
  <c r="C15" i="4"/>
  <c r="K15" i="4"/>
  <c r="B16" i="4"/>
  <c r="J16" i="4"/>
  <c r="A17" i="4"/>
  <c r="I17" i="4"/>
  <c r="Q17" i="4"/>
  <c r="H18" i="4"/>
  <c r="P18" i="4"/>
  <c r="G19" i="4"/>
  <c r="O19" i="4"/>
  <c r="F20" i="4"/>
  <c r="N20" i="4"/>
  <c r="E21" i="4"/>
  <c r="M21" i="4"/>
  <c r="D22" i="4"/>
  <c r="L22" i="4"/>
  <c r="C23" i="4"/>
  <c r="K23" i="4"/>
  <c r="B24" i="4"/>
  <c r="J24" i="4"/>
  <c r="A25" i="4"/>
  <c r="I25" i="4"/>
  <c r="Q25" i="4"/>
  <c r="H26" i="4"/>
  <c r="P26" i="4"/>
  <c r="G27" i="4"/>
  <c r="O27" i="4"/>
  <c r="F28" i="4"/>
  <c r="N28" i="4"/>
  <c r="E29" i="4"/>
  <c r="M29" i="4"/>
  <c r="D30" i="4"/>
  <c r="L30" i="4"/>
  <c r="C31" i="4"/>
  <c r="K31" i="4"/>
  <c r="B32" i="4"/>
  <c r="J32" i="4"/>
  <c r="A33" i="4"/>
  <c r="I33" i="4"/>
  <c r="Q33" i="4"/>
  <c r="H34" i="4"/>
  <c r="P34" i="4"/>
  <c r="G35" i="4"/>
  <c r="O35" i="4"/>
  <c r="F36" i="4"/>
  <c r="N36" i="4"/>
  <c r="E37" i="4"/>
  <c r="M37" i="4"/>
  <c r="D38" i="4"/>
  <c r="L38" i="4"/>
  <c r="C39" i="4"/>
  <c r="K39" i="4"/>
  <c r="B40" i="4"/>
  <c r="J40" i="4"/>
  <c r="B1" i="4"/>
  <c r="J1" i="4"/>
  <c r="A2" i="4"/>
  <c r="I2" i="4"/>
  <c r="Q2" i="4"/>
  <c r="H3" i="4"/>
  <c r="P3" i="4"/>
  <c r="G4" i="4"/>
  <c r="O4" i="4"/>
  <c r="F5" i="4"/>
  <c r="N5" i="4"/>
  <c r="E6" i="4"/>
  <c r="M6" i="4"/>
  <c r="D7" i="4"/>
  <c r="L7" i="4"/>
  <c r="C8" i="4"/>
  <c r="K8" i="4"/>
  <c r="B9" i="4"/>
  <c r="J9" i="4"/>
  <c r="A10" i="4"/>
  <c r="I10" i="4"/>
  <c r="Q10" i="4"/>
  <c r="H11" i="4"/>
  <c r="P11" i="4"/>
  <c r="G12" i="4"/>
  <c r="O12" i="4"/>
  <c r="F13" i="4"/>
  <c r="N13" i="4"/>
  <c r="E14" i="4"/>
  <c r="M14" i="4"/>
  <c r="D15" i="4"/>
  <c r="L15" i="4"/>
  <c r="C16" i="4"/>
  <c r="K16" i="4"/>
  <c r="B17" i="4"/>
  <c r="J17" i="4"/>
  <c r="A18" i="4"/>
  <c r="I18" i="4"/>
  <c r="Q18" i="4"/>
  <c r="H19" i="4"/>
  <c r="P19" i="4"/>
  <c r="G20" i="4"/>
  <c r="O20" i="4"/>
  <c r="F21" i="4"/>
  <c r="N21" i="4"/>
  <c r="E22" i="4"/>
  <c r="M22" i="4"/>
  <c r="D23" i="4"/>
  <c r="L23" i="4"/>
  <c r="C24" i="4"/>
  <c r="K24" i="4"/>
  <c r="B25" i="4"/>
  <c r="J25" i="4"/>
  <c r="A26" i="4"/>
  <c r="I26" i="4"/>
  <c r="Q26" i="4"/>
  <c r="H27" i="4"/>
  <c r="P27" i="4"/>
  <c r="G28" i="4"/>
  <c r="O28" i="4"/>
  <c r="F29" i="4"/>
  <c r="N29" i="4"/>
  <c r="E30" i="4"/>
  <c r="M30" i="4"/>
  <c r="D31" i="4"/>
  <c r="L31" i="4"/>
  <c r="C32" i="4"/>
  <c r="K32" i="4"/>
  <c r="B33" i="4"/>
  <c r="J33" i="4"/>
  <c r="A34" i="4"/>
  <c r="I34" i="4"/>
  <c r="Q34" i="4"/>
  <c r="H35" i="4"/>
  <c r="P35" i="4"/>
  <c r="G36" i="4"/>
  <c r="O36" i="4"/>
  <c r="F37" i="4"/>
  <c r="N37" i="4"/>
  <c r="E38" i="4"/>
  <c r="M38" i="4"/>
  <c r="D39" i="4"/>
  <c r="L39" i="4"/>
  <c r="C40" i="4"/>
  <c r="K40" i="4"/>
  <c r="C1" i="4"/>
  <c r="K1" i="4"/>
  <c r="B2" i="4"/>
  <c r="J2" i="4"/>
  <c r="A3" i="4"/>
  <c r="I3" i="4"/>
  <c r="Q3" i="4"/>
  <c r="H4" i="4"/>
  <c r="P4" i="4"/>
  <c r="G5" i="4"/>
  <c r="O5" i="4"/>
  <c r="F6" i="4"/>
  <c r="N6" i="4"/>
  <c r="E7" i="4"/>
  <c r="M7" i="4"/>
  <c r="D8" i="4"/>
  <c r="L8" i="4"/>
  <c r="C9" i="4"/>
  <c r="K9" i="4"/>
  <c r="B10" i="4"/>
  <c r="J10" i="4"/>
  <c r="A11" i="4"/>
  <c r="I11" i="4"/>
  <c r="Q11" i="4"/>
  <c r="H12" i="4"/>
  <c r="P12" i="4"/>
  <c r="G13" i="4"/>
  <c r="O13" i="4"/>
  <c r="F14" i="4"/>
  <c r="N14" i="4"/>
  <c r="E15" i="4"/>
  <c r="M15" i="4"/>
  <c r="D16" i="4"/>
  <c r="L16" i="4"/>
  <c r="C17" i="4"/>
  <c r="K17" i="4"/>
  <c r="B18" i="4"/>
  <c r="J18" i="4"/>
  <c r="A19" i="4"/>
  <c r="I19" i="4"/>
  <c r="Q19" i="4"/>
  <c r="H20" i="4"/>
  <c r="P20" i="4"/>
  <c r="G21" i="4"/>
  <c r="O21" i="4"/>
  <c r="F22" i="4"/>
  <c r="N22" i="4"/>
  <c r="E23" i="4"/>
  <c r="M23" i="4"/>
  <c r="D24" i="4"/>
  <c r="L24" i="4"/>
  <c r="C25" i="4"/>
  <c r="K25" i="4"/>
  <c r="B26" i="4"/>
  <c r="J26" i="4"/>
  <c r="A27" i="4"/>
  <c r="I27" i="4"/>
  <c r="Q27" i="4"/>
  <c r="H28" i="4"/>
  <c r="P28" i="4"/>
  <c r="G29" i="4"/>
  <c r="O29" i="4"/>
  <c r="F30" i="4"/>
  <c r="N30" i="4"/>
  <c r="E31" i="4"/>
  <c r="M31" i="4"/>
  <c r="D32" i="4"/>
  <c r="L32" i="4"/>
  <c r="C33" i="4"/>
  <c r="K33" i="4"/>
  <c r="B34" i="4"/>
  <c r="J34" i="4"/>
  <c r="A35" i="4"/>
  <c r="I35" i="4"/>
  <c r="Q35" i="4"/>
  <c r="H36" i="4"/>
  <c r="P36" i="4"/>
  <c r="G37" i="4"/>
  <c r="O37" i="4"/>
  <c r="F38" i="4"/>
  <c r="N38" i="4"/>
  <c r="E39" i="4"/>
  <c r="M39" i="4"/>
  <c r="D40" i="4"/>
  <c r="L40" i="4"/>
  <c r="D1" i="4"/>
  <c r="L1" i="4"/>
  <c r="C2" i="4"/>
  <c r="K2" i="4"/>
  <c r="B3" i="4"/>
  <c r="J3" i="4"/>
  <c r="A4" i="4"/>
  <c r="I4" i="4"/>
  <c r="Q4" i="4"/>
  <c r="H5" i="4"/>
  <c r="P5" i="4"/>
  <c r="G6" i="4"/>
  <c r="O6" i="4"/>
  <c r="F7" i="4"/>
  <c r="N7" i="4"/>
  <c r="E8" i="4"/>
  <c r="M8" i="4"/>
  <c r="D9" i="4"/>
  <c r="L9" i="4"/>
  <c r="C10" i="4"/>
  <c r="K10" i="4"/>
  <c r="B11" i="4"/>
  <c r="J11" i="4"/>
  <c r="A12" i="4"/>
  <c r="I12" i="4"/>
  <c r="Q12" i="4"/>
  <c r="H13" i="4"/>
  <c r="P13" i="4"/>
  <c r="G14" i="4"/>
  <c r="O14" i="4"/>
  <c r="F15" i="4"/>
  <c r="N15" i="4"/>
  <c r="E16" i="4"/>
  <c r="M16" i="4"/>
  <c r="D17" i="4"/>
  <c r="L17" i="4"/>
  <c r="C18" i="4"/>
  <c r="K18" i="4"/>
  <c r="B19" i="4"/>
  <c r="J19" i="4"/>
  <c r="A20" i="4"/>
  <c r="I20" i="4"/>
  <c r="Q20" i="4"/>
  <c r="H21" i="4"/>
  <c r="P21" i="4"/>
  <c r="G22" i="4"/>
  <c r="O22" i="4"/>
  <c r="E1" i="4"/>
  <c r="M1" i="4"/>
  <c r="D2" i="4"/>
  <c r="L2" i="4"/>
  <c r="C3" i="4"/>
  <c r="K3" i="4"/>
  <c r="B4" i="4"/>
  <c r="J4" i="4"/>
  <c r="A5" i="4"/>
  <c r="I5" i="4"/>
  <c r="Q5" i="4"/>
  <c r="H6" i="4"/>
  <c r="P6" i="4"/>
  <c r="G7" i="4"/>
  <c r="O7" i="4"/>
  <c r="F8" i="4"/>
  <c r="N8" i="4"/>
  <c r="E9" i="4"/>
  <c r="M9" i="4"/>
  <c r="D10" i="4"/>
  <c r="L10" i="4"/>
  <c r="C11" i="4"/>
  <c r="K11" i="4"/>
  <c r="B12" i="4"/>
  <c r="J12" i="4"/>
  <c r="A13" i="4"/>
  <c r="I13" i="4"/>
  <c r="Q13" i="4"/>
  <c r="H14" i="4"/>
  <c r="P14" i="4"/>
  <c r="G15" i="4"/>
  <c r="O15" i="4"/>
  <c r="F16" i="4"/>
  <c r="N16" i="4"/>
  <c r="E17" i="4"/>
  <c r="M17" i="4"/>
  <c r="D18" i="4"/>
  <c r="L18" i="4"/>
  <c r="C19" i="4"/>
  <c r="K19" i="4"/>
  <c r="F1" i="4"/>
  <c r="D3" i="4"/>
  <c r="B5" i="4"/>
  <c r="Q6" i="4"/>
  <c r="O8" i="4"/>
  <c r="M10" i="4"/>
  <c r="K12" i="4"/>
  <c r="I14" i="4"/>
  <c r="G16" i="4"/>
  <c r="E18" i="4"/>
  <c r="B20" i="4"/>
  <c r="C21" i="4"/>
  <c r="I22" i="4"/>
  <c r="I23" i="4"/>
  <c r="H24" i="4"/>
  <c r="G25" i="4"/>
  <c r="F26" i="4"/>
  <c r="E27" i="4"/>
  <c r="C28" i="4"/>
  <c r="Q28" i="4"/>
  <c r="K29" i="4"/>
  <c r="H30" i="4"/>
  <c r="B31" i="4"/>
  <c r="P31" i="4"/>
  <c r="M32" i="4"/>
  <c r="G33" i="4"/>
  <c r="D34" i="4"/>
  <c r="O34" i="4"/>
  <c r="L35" i="4"/>
  <c r="I36" i="4"/>
  <c r="C37" i="4"/>
  <c r="Q37" i="4"/>
  <c r="K38" i="4"/>
  <c r="H39" i="4"/>
  <c r="E40" i="4"/>
  <c r="P40" i="4"/>
  <c r="G41" i="4"/>
  <c r="O41" i="4"/>
  <c r="F42" i="4"/>
  <c r="N42" i="4"/>
  <c r="E43" i="4"/>
  <c r="M43" i="4"/>
  <c r="N32" i="4"/>
  <c r="M35" i="4"/>
  <c r="J36" i="4"/>
  <c r="A38" i="4"/>
  <c r="O38" i="4"/>
  <c r="F40" i="4"/>
  <c r="H41" i="4"/>
  <c r="P41" i="4"/>
  <c r="O42" i="4"/>
  <c r="F43" i="4"/>
  <c r="N43" i="4"/>
  <c r="H42" i="4"/>
  <c r="P42" i="4"/>
  <c r="O43" i="4"/>
  <c r="N39" i="4"/>
  <c r="A42" i="4"/>
  <c r="P43" i="4"/>
  <c r="M27" i="4"/>
  <c r="O30" i="4"/>
  <c r="Q32" i="4"/>
  <c r="M36" i="4"/>
  <c r="O39" i="4"/>
  <c r="B42" i="4"/>
  <c r="Q43" i="4"/>
  <c r="Q7" i="4"/>
  <c r="M11" i="4"/>
  <c r="L20" i="4"/>
  <c r="D25" i="4"/>
  <c r="H29" i="4"/>
  <c r="O33" i="4"/>
  <c r="K37" i="4"/>
  <c r="K42" i="4"/>
  <c r="N40" i="4"/>
  <c r="K43" i="4"/>
  <c r="F10" i="4"/>
  <c r="D12" i="4"/>
  <c r="B21" i="4"/>
  <c r="M28" i="4"/>
  <c r="I32" i="4"/>
  <c r="B37" i="4"/>
  <c r="G39" i="4"/>
  <c r="D43" i="4"/>
  <c r="G1" i="4"/>
  <c r="E3" i="4"/>
  <c r="C5" i="4"/>
  <c r="A7" i="4"/>
  <c r="P8" i="4"/>
  <c r="N10" i="4"/>
  <c r="L12" i="4"/>
  <c r="J14" i="4"/>
  <c r="H16" i="4"/>
  <c r="F18" i="4"/>
  <c r="C20" i="4"/>
  <c r="I21" i="4"/>
  <c r="J22" i="4"/>
  <c r="N23" i="4"/>
  <c r="M24" i="4"/>
  <c r="L25" i="4"/>
  <c r="K26" i="4"/>
  <c r="J27" i="4"/>
  <c r="D28" i="4"/>
  <c r="A29" i="4"/>
  <c r="L29" i="4"/>
  <c r="I30" i="4"/>
  <c r="F31" i="4"/>
  <c r="Q31" i="4"/>
  <c r="H33" i="4"/>
  <c r="E34" i="4"/>
  <c r="B35" i="4"/>
  <c r="D37" i="4"/>
  <c r="I39" i="4"/>
  <c r="Q40" i="4"/>
  <c r="G42" i="4"/>
  <c r="B41" i="4"/>
  <c r="Q42" i="4"/>
  <c r="N26" i="4"/>
  <c r="F32" i="4"/>
  <c r="B36" i="4"/>
  <c r="A39" i="4"/>
  <c r="J42" i="4"/>
  <c r="D4" i="4"/>
  <c r="G17" i="4"/>
  <c r="E24" i="4"/>
  <c r="K28" i="4"/>
  <c r="G32" i="4"/>
  <c r="F35" i="4"/>
  <c r="B39" i="4"/>
  <c r="C42" i="4"/>
  <c r="L37" i="4"/>
  <c r="M41" i="4"/>
  <c r="N2" i="4"/>
  <c r="O17" i="4"/>
  <c r="G24" i="4"/>
  <c r="B28" i="4"/>
  <c r="O31" i="4"/>
  <c r="N34" i="4"/>
  <c r="J38" i="4"/>
  <c r="N41" i="4"/>
  <c r="N1" i="4"/>
  <c r="L3" i="4"/>
  <c r="J5" i="4"/>
  <c r="H7" i="4"/>
  <c r="F9" i="4"/>
  <c r="D11" i="4"/>
  <c r="B13" i="4"/>
  <c r="Q14" i="4"/>
  <c r="O16" i="4"/>
  <c r="M18" i="4"/>
  <c r="D20" i="4"/>
  <c r="J21" i="4"/>
  <c r="P22" i="4"/>
  <c r="O23" i="4"/>
  <c r="N24" i="4"/>
  <c r="M25" i="4"/>
  <c r="L26" i="4"/>
  <c r="K27" i="4"/>
  <c r="E28" i="4"/>
  <c r="B29" i="4"/>
  <c r="P29" i="4"/>
  <c r="J30" i="4"/>
  <c r="G31" i="4"/>
  <c r="A32" i="4"/>
  <c r="O32" i="4"/>
  <c r="L33" i="4"/>
  <c r="F34" i="4"/>
  <c r="C35" i="4"/>
  <c r="N35" i="4"/>
  <c r="K36" i="4"/>
  <c r="H37" i="4"/>
  <c r="B38" i="4"/>
  <c r="P38" i="4"/>
  <c r="J39" i="4"/>
  <c r="G40" i="4"/>
  <c r="A41" i="4"/>
  <c r="I41" i="4"/>
  <c r="Q41" i="4"/>
  <c r="G43" i="4"/>
  <c r="I42" i="4"/>
  <c r="J28" i="4"/>
  <c r="E35" i="4"/>
  <c r="C41" i="4"/>
  <c r="I43" i="4"/>
  <c r="F2" i="4"/>
  <c r="I15" i="4"/>
  <c r="F23" i="4"/>
  <c r="N27" i="4"/>
  <c r="B30" i="4"/>
  <c r="D33" i="4"/>
  <c r="C36" i="4"/>
  <c r="P39" i="4"/>
  <c r="D41" i="4"/>
  <c r="B43" i="4"/>
  <c r="I38" i="4"/>
  <c r="E41" i="4"/>
  <c r="L42" i="4"/>
  <c r="J6" i="4"/>
  <c r="Q15" i="4"/>
  <c r="H23" i="4"/>
  <c r="D27" i="4"/>
  <c r="G30" i="4"/>
  <c r="C34" i="4"/>
  <c r="P37" i="4"/>
  <c r="F41" i="4"/>
  <c r="L43" i="4"/>
  <c r="O1" i="4"/>
  <c r="M3" i="4"/>
  <c r="K5" i="4"/>
  <c r="I7" i="4"/>
  <c r="G9" i="4"/>
  <c r="E11" i="4"/>
  <c r="C13" i="4"/>
  <c r="A15" i="4"/>
  <c r="P16" i="4"/>
  <c r="N18" i="4"/>
  <c r="J20" i="4"/>
  <c r="K21" i="4"/>
  <c r="Q22" i="4"/>
  <c r="P23" i="4"/>
  <c r="O24" i="4"/>
  <c r="N25" i="4"/>
  <c r="M26" i="4"/>
  <c r="L27" i="4"/>
  <c r="I28" i="4"/>
  <c r="C29" i="4"/>
  <c r="Q29" i="4"/>
  <c r="K30" i="4"/>
  <c r="H31" i="4"/>
  <c r="E32" i="4"/>
  <c r="P32" i="4"/>
  <c r="M33" i="4"/>
  <c r="G34" i="4"/>
  <c r="D35" i="4"/>
  <c r="A36" i="4"/>
  <c r="L36" i="4"/>
  <c r="I37" i="4"/>
  <c r="C38" i="4"/>
  <c r="Q38" i="4"/>
  <c r="H40" i="4"/>
  <c r="J41" i="4"/>
  <c r="H43" i="4"/>
  <c r="D29" i="4"/>
  <c r="N33" i="4"/>
  <c r="J37" i="4"/>
  <c r="I40" i="4"/>
  <c r="A43" i="4"/>
  <c r="B6" i="4"/>
  <c r="K13" i="4"/>
  <c r="A22" i="4"/>
  <c r="B27" i="4"/>
  <c r="J31" i="4"/>
  <c r="Q36" i="4"/>
  <c r="M40" i="4"/>
  <c r="J43" i="4"/>
  <c r="Q39" i="4"/>
  <c r="D42" i="4"/>
  <c r="L4" i="4"/>
  <c r="M19" i="4"/>
  <c r="F25" i="4"/>
  <c r="J29" i="4"/>
  <c r="F33" i="4"/>
  <c r="E36" i="4"/>
  <c r="O40" i="4"/>
  <c r="E42" i="4"/>
  <c r="E2" i="4"/>
  <c r="C4" i="4"/>
  <c r="A6" i="4"/>
  <c r="P7" i="4"/>
  <c r="N9" i="4"/>
  <c r="L11" i="4"/>
  <c r="J13" i="4"/>
  <c r="H15" i="4"/>
  <c r="F17" i="4"/>
  <c r="D19" i="4"/>
  <c r="K20" i="4"/>
  <c r="Q21" i="4"/>
  <c r="A23" i="4"/>
  <c r="Q23" i="4"/>
  <c r="P24" i="4"/>
  <c r="O25" i="4"/>
  <c r="A30" i="4"/>
  <c r="I31" i="4"/>
  <c r="K34" i="4"/>
  <c r="G38" i="4"/>
  <c r="K41" i="4"/>
  <c r="O9" i="4"/>
  <c r="E19" i="4"/>
  <c r="C26" i="4"/>
  <c r="P30" i="4"/>
  <c r="L34" i="4"/>
  <c r="H38" i="4"/>
  <c r="L41" i="4"/>
  <c r="M2" i="4"/>
  <c r="K4" i="4"/>
  <c r="I6" i="4"/>
  <c r="G8" i="4"/>
  <c r="E10" i="4"/>
  <c r="C12" i="4"/>
  <c r="A14" i="4"/>
  <c r="P15" i="4"/>
  <c r="N17" i="4"/>
  <c r="L19" i="4"/>
  <c r="A21" i="4"/>
  <c r="B22" i="4"/>
  <c r="G23" i="4"/>
  <c r="F24" i="4"/>
  <c r="E25" i="4"/>
  <c r="D26" i="4"/>
  <c r="C27" i="4"/>
  <c r="A28" i="4"/>
  <c r="L28" i="4"/>
  <c r="I29" i="4"/>
  <c r="C30" i="4"/>
  <c r="Q30" i="4"/>
  <c r="N31" i="4"/>
  <c r="H32" i="4"/>
  <c r="E33" i="4"/>
  <c r="P33" i="4"/>
  <c r="M34" i="4"/>
  <c r="J35" i="4"/>
  <c r="D36" i="4"/>
  <c r="A37" i="4"/>
  <c r="F39" i="4"/>
  <c r="C43" i="4"/>
  <c r="H8" i="4"/>
  <c r="B14" i="4"/>
  <c r="H22" i="4"/>
  <c r="E26" i="4"/>
  <c r="A31" i="4"/>
  <c r="K35" i="4"/>
  <c r="A40" i="4"/>
  <c r="M42" i="4"/>
  <c r="G6" i="5"/>
  <c r="G10" i="5"/>
  <c r="G14" i="5"/>
  <c r="G18" i="5"/>
  <c r="F3" i="5"/>
  <c r="F7" i="5"/>
  <c r="F11" i="5"/>
  <c r="F15" i="5"/>
  <c r="F19" i="5"/>
  <c r="G3" i="5"/>
  <c r="G7" i="5"/>
  <c r="G11" i="5"/>
  <c r="G15" i="5"/>
  <c r="G19" i="5"/>
  <c r="F4" i="5"/>
  <c r="F8" i="5"/>
  <c r="F12" i="5"/>
  <c r="F16" i="5"/>
  <c r="F20" i="5"/>
  <c r="G4" i="5"/>
  <c r="G8" i="5"/>
  <c r="G12" i="5"/>
  <c r="G16" i="5"/>
  <c r="G20" i="5"/>
  <c r="F5" i="5"/>
  <c r="F9" i="5"/>
  <c r="F13" i="5"/>
  <c r="F17" i="5"/>
  <c r="F21" i="5"/>
  <c r="G5" i="5"/>
  <c r="G9" i="5"/>
  <c r="G13" i="5"/>
  <c r="G17" i="5"/>
  <c r="G21" i="5"/>
  <c r="F6" i="5"/>
  <c r="F10" i="5"/>
  <c r="F14" i="5"/>
  <c r="F18" i="5"/>
  <c r="D2" i="3"/>
  <c r="D3" i="3"/>
  <c r="C11" i="5" l="1"/>
  <c r="H4" i="5" a="1"/>
  <c r="H4" i="5" s="1"/>
  <c r="I4" i="5" a="1"/>
  <c r="I4" i="5" s="1"/>
  <c r="C10" i="5" l="1"/>
  <c r="C9" i="5"/>
  <c r="C12" i="5"/>
  <c r="C8" i="5"/>
  <c r="C6" i="5"/>
  <c r="C7" i="5"/>
  <c r="D12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<sst xmlns="http://schemas.openxmlformats.org/spreadsheetml/2006/main" count="39" uniqueCount="38">
  <si>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</si>
  <si>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</si>
  <si>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</si>
  <si>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</si>
  <si>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</si>
  <si>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</si>
  <si>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</si>
  <si>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</si>
  <si>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</si>
  <si>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</si>
  <si>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</si>
  <si>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</si>
  <si>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</si>
  <si>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</si>
  <si>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</si>
  <si>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csv</t>
  </si>
  <si>
    <t>xlsxl</t>
  </si>
  <si>
    <t>csv_pools</t>
  </si>
  <si>
    <t xml:space="preserve"> LC INVESTE Private</t>
  </si>
  <si>
    <t xml:space="preserve">AmFi Pool de Unitokens </t>
  </si>
  <si>
    <t>NLT Tech One</t>
  </si>
  <si>
    <t>Pool</t>
  </si>
  <si>
    <t>PL</t>
  </si>
  <si>
    <t>SR</t>
  </si>
  <si>
    <t>JR</t>
  </si>
  <si>
    <t>Cash</t>
  </si>
  <si>
    <t>Cash+Over/PL</t>
  </si>
  <si>
    <t>dtRef</t>
  </si>
  <si>
    <t>n</t>
  </si>
  <si>
    <t>%</t>
  </si>
  <si>
    <t>Amfi Digital Assets LTDA</t>
  </si>
  <si>
    <t>Carteira</t>
  </si>
  <si>
    <t>Over</t>
  </si>
  <si>
    <t>chk</t>
  </si>
  <si>
    <t>cedente</t>
  </si>
  <si>
    <t>sacado</t>
  </si>
  <si>
    <t>=AmfiConcentracao(portfolio_filepath;selected_pool;C$6;K2;;;ignore_lst)</t>
  </si>
  <si>
    <t>AFA Pool 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</si>
</sst>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.000"/>
    <numFmt numFmtId="167" formatCode="_-* #,##0.000_-;\-* #,##0.000_-;_-* &quot;-&quot;??_-;_-@_-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5" fontId="0" fillId="0" borderId="0" xfId="0" applyNumberFormat="1"/>
    <xf numFmtId="0" fontId="1" fillId="0" borderId="0" xfId="0" applyFont="1"/>
    <xf numFmtId="15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164" fontId="0" fillId="0" borderId="0" xfId="1" applyNumberFormat="1" applyFont="1" applyAlignment="1">
      <alignment horizontal="right"/>
    </xf>
    <xf numFmtId="0" fontId="0" fillId="2" borderId="0" xfId="0" applyFill="1"/>
    <xf numFmtId="9" fontId="1" fillId="0" borderId="0" xfId="1" applyNumberFormat="1" applyFont="1" applyAlignment="1">
      <alignment horizontal="right"/>
    </xf>
    <xf numFmtId="9" fontId="0" fillId="0" borderId="0" xfId="1" applyNumberFormat="1" applyFont="1" applyAlignment="1">
      <alignment horizontal="right"/>
    </xf>
    <xf numFmtId="9" fontId="0" fillId="0" borderId="0" xfId="2" applyFont="1" applyAlignment="1">
      <alignment horizontal="right"/>
    </xf>
    <xf numFmtId="0" fontId="1" fillId="3" borderId="0" xfId="0" applyFont="1" applyFill="1"/>
    <xf numFmtId="15" fontId="1" fillId="3" borderId="0" xfId="0" applyNumberFormat="1" applyFont="1" applyFill="1" applyAlignment="1">
      <alignment horizontal="right"/>
    </xf>
    <xf numFmtId="164" fontId="1" fillId="3" borderId="0" xfId="1" applyNumberFormat="1" applyFont="1" applyFill="1" applyAlignment="1">
      <alignment horizontal="right"/>
    </xf>
    <xf numFmtId="9" fontId="1" fillId="3" borderId="0" xfId="2" applyFont="1" applyFill="1" applyAlignment="1">
      <alignment horizontal="right"/>
    </xf>
    <xf numFmtId="43" fontId="1" fillId="3" borderId="0" xfId="1" applyFont="1" applyFill="1" applyAlignment="1">
      <alignment horizontal="right"/>
    </xf>
    <xf numFmtId="164" fontId="0" fillId="0" borderId="0" xfId="1" applyNumberFormat="1" applyFont="1" applyFill="1" applyAlignment="1">
      <alignment horizontal="right"/>
    </xf>
    <xf numFmtId="9" fontId="0" fillId="0" borderId="0" xfId="2" applyFont="1" applyFill="1" applyAlignment="1">
      <alignment horizontal="right"/>
    </xf>
    <xf numFmtId="9" fontId="0" fillId="0" borderId="0" xfId="1" applyNumberFormat="1" applyFont="1" applyFill="1" applyAlignment="1">
      <alignment horizontal="right"/>
    </xf>
    <xf numFmtId="43" fontId="0" fillId="0" borderId="0" xfId="1" applyFont="1" applyFill="1" applyAlignment="1">
      <alignment horizontal="right"/>
    </xf>
    <xf numFmtId="0" fontId="3" fillId="0" borderId="0" xfId="0" applyFont="1"/>
    <xf numFmtId="165" fontId="1" fillId="3" borderId="0" xfId="2" applyNumberFormat="1" applyFont="1" applyFill="1" applyAlignment="1">
      <alignment horizontal="right"/>
    </xf>
    <xf numFmtId="165" fontId="0" fillId="0" borderId="0" xfId="2" applyNumberFormat="1" applyFont="1" applyFill="1" applyAlignment="1">
      <alignment horizontal="right"/>
    </xf>
    <xf numFmtId="165" fontId="0" fillId="0" borderId="0" xfId="2" applyNumberFormat="1" applyFont="1" applyAlignment="1">
      <alignment horizontal="right"/>
    </xf>
    <xf numFmtId="164" fontId="0" fillId="0" borderId="0" xfId="1" applyNumberFormat="1" applyFont="1" applyFill="1" applyBorder="1" applyAlignment="1">
      <alignment horizontal="right"/>
    </xf>
    <xf numFmtId="165" fontId="0" fillId="0" borderId="0" xfId="2" applyNumberFormat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43" fontId="0" fillId="0" borderId="0" xfId="1" applyFont="1" applyFill="1" applyBorder="1" applyAlignment="1">
      <alignment horizontal="right"/>
    </xf>
    <xf numFmtId="0" fontId="3" fillId="0" borderId="1" xfId="0" applyFont="1" applyBorder="1"/>
    <xf numFmtId="15" fontId="0" fillId="0" borderId="1" xfId="0" applyNumberFormat="1" applyBorder="1" applyAlignment="1">
      <alignment horizontal="right"/>
    </xf>
    <xf numFmtId="164" fontId="0" fillId="0" borderId="1" xfId="1" applyNumberFormat="1" applyFont="1" applyFill="1" applyBorder="1" applyAlignment="1">
      <alignment horizontal="right"/>
    </xf>
    <xf numFmtId="165" fontId="0" fillId="0" borderId="1" xfId="2" applyNumberFormat="1" applyFont="1" applyFill="1" applyBorder="1" applyAlignment="1">
      <alignment horizontal="right"/>
    </xf>
    <xf numFmtId="9" fontId="0" fillId="0" borderId="1" xfId="1" applyNumberFormat="1" applyFont="1" applyFill="1" applyBorder="1" applyAlignment="1">
      <alignment horizontal="right"/>
    </xf>
    <xf numFmtId="9" fontId="0" fillId="0" borderId="1" xfId="2" applyFont="1" applyFill="1" applyBorder="1" applyAlignment="1">
      <alignment horizontal="right"/>
    </xf>
    <xf numFmtId="43" fontId="0" fillId="0" borderId="1" xfId="1" applyFont="1" applyFill="1" applyBorder="1" applyAlignment="1">
      <alignment horizontal="right"/>
    </xf>
    <xf numFmtId="15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" fillId="0" borderId="0" xfId="1" applyNumberFormat="1" applyFont="1" applyAlignment="1">
      <alignment horizontal="right"/>
    </xf>
    <xf numFmtId="4" fontId="0" fillId="0" borderId="1" xfId="1" applyNumberFormat="1" applyFont="1" applyFill="1" applyBorder="1" applyAlignment="1">
      <alignment horizontal="right"/>
    </xf>
    <xf numFmtId="4" fontId="0" fillId="0" borderId="0" xfId="1" applyNumberFormat="1" applyFont="1" applyFill="1" applyAlignment="1">
      <alignment horizontal="right"/>
    </xf>
    <xf numFmtId="4" fontId="0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15" fontId="4" fillId="4" borderId="0" xfId="0" applyNumberFormat="1" applyFont="1" applyFill="1" applyAlignment="1">
      <alignment horizontal="left"/>
    </xf>
    <xf numFmtId="4" fontId="4" fillId="4" borderId="0" xfId="0" applyNumberFormat="1" applyFont="1" applyFill="1" applyAlignment="1">
      <alignment horizontal="right"/>
    </xf>
    <xf numFmtId="164" fontId="0" fillId="0" borderId="0" xfId="1" applyNumberFormat="1" applyFont="1"/>
    <xf numFmtId="15" fontId="1" fillId="3" borderId="0" xfId="1" applyNumberFormat="1" applyFont="1" applyFill="1" applyAlignment="1">
      <alignment horizontal="right"/>
    </xf>
    <xf numFmtId="15" fontId="0" fillId="0" borderId="1" xfId="1" applyNumberFormat="1" applyFont="1" applyFill="1" applyBorder="1" applyAlignment="1">
      <alignment horizontal="right"/>
    </xf>
    <xf numFmtId="15" fontId="0" fillId="0" borderId="0" xfId="1" applyNumberFormat="1" applyFont="1" applyFill="1" applyBorder="1" applyAlignment="1">
      <alignment horizontal="right"/>
    </xf>
    <xf numFmtId="15" fontId="0" fillId="0" borderId="0" xfId="1" applyNumberFormat="1" applyFont="1" applyFill="1" applyAlignment="1">
      <alignment horizontal="right"/>
    </xf>
    <xf numFmtId="15" fontId="0" fillId="0" borderId="0" xfId="1" applyNumberFormat="1" applyFont="1" applyAlignment="1">
      <alignment horizontal="right"/>
    </xf>
    <xf numFmtId="0" fontId="3" fillId="0" borderId="3" xfId="0" applyFont="1" applyBorder="1"/>
    <xf numFmtId="15" fontId="0" fillId="0" borderId="4" xfId="0" applyNumberFormat="1" applyBorder="1" applyAlignment="1">
      <alignment horizontal="right"/>
    </xf>
    <xf numFmtId="15" fontId="0" fillId="0" borderId="4" xfId="1" applyNumberFormat="1" applyFont="1" applyFill="1" applyBorder="1" applyAlignment="1">
      <alignment horizontal="right"/>
    </xf>
    <xf numFmtId="164" fontId="0" fillId="0" borderId="4" xfId="1" applyNumberFormat="1" applyFont="1" applyFill="1" applyBorder="1" applyAlignment="1">
      <alignment horizontal="right"/>
    </xf>
    <xf numFmtId="165" fontId="0" fillId="0" borderId="4" xfId="2" applyNumberFormat="1" applyFont="1" applyFill="1" applyBorder="1" applyAlignment="1">
      <alignment horizontal="right"/>
    </xf>
    <xf numFmtId="9" fontId="0" fillId="0" borderId="4" xfId="2" applyFont="1" applyFill="1" applyBorder="1" applyAlignment="1">
      <alignment horizontal="right"/>
    </xf>
    <xf numFmtId="43" fontId="0" fillId="0" borderId="4" xfId="1" applyFont="1" applyFill="1" applyBorder="1" applyAlignment="1">
      <alignment horizontal="right"/>
    </xf>
    <xf numFmtId="4" fontId="0" fillId="0" borderId="4" xfId="1" applyNumberFormat="1" applyFont="1" applyFill="1" applyBorder="1" applyAlignment="1">
      <alignment horizontal="right"/>
    </xf>
    <xf numFmtId="9" fontId="0" fillId="0" borderId="5" xfId="1" applyNumberFormat="1" applyFont="1" applyFill="1" applyBorder="1" applyAlignment="1">
      <alignment horizontal="right"/>
    </xf>
    <xf numFmtId="165" fontId="0" fillId="0" borderId="0" xfId="0" applyNumberFormat="1"/>
    <xf numFmtId="43" fontId="4" fillId="4" borderId="0" xfId="1" applyFont="1" applyFill="1" applyAlignment="1">
      <alignment horizontal="right"/>
    </xf>
    <xf numFmtId="164" fontId="4" fillId="4" borderId="0" xfId="1" applyNumberFormat="1" applyFont="1" applyFill="1" applyAlignment="1">
      <alignment horizontal="right"/>
    </xf>
    <xf numFmtId="15" fontId="0" fillId="0" borderId="6" xfId="0" applyNumberFormat="1" applyBorder="1" applyAlignment="1">
      <alignment horizontal="left"/>
    </xf>
    <xf numFmtId="4" fontId="0" fillId="0" borderId="2" xfId="0" applyNumberFormat="1" applyBorder="1" applyAlignment="1">
      <alignment horizontal="right"/>
    </xf>
    <xf numFmtId="164" fontId="0" fillId="0" borderId="2" xfId="1" applyNumberFormat="1" applyFont="1" applyBorder="1"/>
    <xf numFmtId="9" fontId="0" fillId="0" borderId="7" xfId="1" applyNumberFormat="1" applyFont="1" applyBorder="1"/>
    <xf numFmtId="9" fontId="0" fillId="0" borderId="7" xfId="0" applyNumberFormat="1" applyBorder="1"/>
    <xf numFmtId="0" fontId="5" fillId="4" borderId="0" xfId="0" applyFont="1" applyFill="1" applyAlignment="1">
      <alignment horizontal="right"/>
    </xf>
    <xf numFmtId="15" fontId="4" fillId="4" borderId="0" xfId="0" applyNumberFormat="1" applyFont="1" applyFill="1" applyAlignment="1">
      <alignment horizontal="right"/>
    </xf>
    <xf numFmtId="0" fontId="0" fillId="0" borderId="0" xfId="0" quotePrefix="1"/>
    <xf numFmtId="0" fontId="1" fillId="0" borderId="0" xfId="0" quotePrefix="1" applyFont="1"/>
    <xf numFmtId="165" fontId="0" fillId="0" borderId="0" xfId="2" applyNumberFormat="1" applyFont="1"/>
    <xf numFmtId="164" fontId="0" fillId="0" borderId="0" xfId="1" applyNumberFormat="1" applyFont="1" applyFill="1"/>
    <xf numFmtId="165" fontId="0" fillId="0" borderId="0" xfId="2" applyNumberFormat="1" applyFont="1" applyFill="1"/>
    <xf numFmtId="166" fontId="1" fillId="3" borderId="0" xfId="2" applyNumberFormat="1" applyFont="1" applyFill="1" applyAlignment="1">
      <alignment horizontal="right"/>
    </xf>
    <xf numFmtId="166" fontId="0" fillId="0" borderId="4" xfId="2" applyNumberFormat="1" applyFont="1" applyFill="1" applyBorder="1" applyAlignment="1">
      <alignment horizontal="right"/>
    </xf>
    <xf numFmtId="166" fontId="0" fillId="0" borderId="1" xfId="2" applyNumberFormat="1" applyFont="1" applyFill="1" applyBorder="1" applyAlignment="1">
      <alignment horizontal="right"/>
    </xf>
    <xf numFmtId="166" fontId="0" fillId="0" borderId="0" xfId="2" applyNumberFormat="1" applyFont="1" applyFill="1" applyBorder="1" applyAlignment="1">
      <alignment horizontal="right"/>
    </xf>
    <xf numFmtId="166" fontId="0" fillId="0" borderId="0" xfId="2" applyNumberFormat="1" applyFont="1" applyFill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1" applyNumberFormat="1" applyFont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C00000"/>
      </font>
      <fill>
        <patternFill>
          <bgColor rgb="FFFF9999"/>
        </patternFill>
      </fill>
    </dxf>
    <dxf>
      <font>
        <color rgb="FF00B050"/>
      </font>
      <fill>
        <patternFill>
          <bgColor theme="6" tint="0.79998168889431442"/>
        </patternFill>
      </fill>
    </dxf>
  </dxfs>
  <tableStyles count="0" defaultTableStyle="TableStyleMedium9" defaultPivotStyle="PivotStyleMedium4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BB50-B422-467C-9514-05D2217A813B}">
  <sheetPr codeName="Sheet4"/>
  <dimension ref="A1:Q6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45" sqref="O45"/>
    </sheetView>
  </sheetViews>
  <sheetFormatPr defaultRowHeight="15.75" x14ac:dyDescent="0.5"/>
  <cols>
    <col min="1" max="1" width="20.125" bestFit="1" customWidth="1"/>
    <col min="2" max="2" width="5.0625" style="5" bestFit="1" customWidth="1"/>
    <col min="3" max="3" width="9.625" style="51" bestFit="1" customWidth="1"/>
    <col min="4" max="8" width="11.25" style="7" bestFit="1" customWidth="1"/>
    <col min="9" max="9" width="10.1875" style="7" bestFit="1" customWidth="1"/>
    <col min="10" max="10" width="11.25" style="7" bestFit="1" customWidth="1"/>
    <col min="11" max="11" width="11.5" style="7" bestFit="1" customWidth="1"/>
    <col min="12" max="12" width="14.75" style="81" bestFit="1" customWidth="1"/>
    <col min="13" max="13" width="6.8125" style="24" bestFit="1" customWidth="1"/>
    <col min="14" max="14" width="11.625" style="11" bestFit="1" customWidth="1"/>
    <col min="15" max="15" width="11.8125" style="6" bestFit="1" customWidth="1"/>
    <col min="16" max="16" width="9.0625" style="41" bestFit="1" customWidth="1"/>
    <col min="17" max="17" width="12.4375" style="10" bestFit="1" customWidth="1"/>
  </cols>
  <sheetData>
    <row r="1" spans="1:17" x14ac:dyDescent="0.5">
      <c r="A1" s="12" t="str">
        <f t="array" ref="A1:Q43">AmfiDashboard(dashboard_filepath,,"exec",ignore_lst)</f>
        <v>Nome</v>
      </c>
      <c r="B1" s="13" t="str">
        <v>JSON</v>
      </c>
      <c r="C1" s="47" t="str">
        <v>Dt. Venct</v>
      </c>
      <c r="D1" s="14" t="str">
        <v>Dias</v>
      </c>
      <c r="E1" s="14" t="str">
        <v>PL</v>
      </c>
      <c r="F1" s="14" t="str">
        <v>SR</v>
      </c>
      <c r="G1" s="14" t="str">
        <v>JR</v>
      </c>
      <c r="H1" s="14" t="str">
        <v>Carteira</v>
      </c>
      <c r="I1" s="14" t="str">
        <v>Cash</v>
      </c>
      <c r="J1" s="14" t="str">
        <v>Over</v>
      </c>
      <c r="K1" s="14" t="str">
        <v>Cx. Reserva</v>
      </c>
      <c r="L1" s="76" t="str">
        <v>R.G.</v>
      </c>
      <c r="M1" s="22" t="str">
        <v>I.S.</v>
      </c>
      <c r="N1" s="15" t="str">
        <v>I.S. (Tranche)</v>
      </c>
      <c r="O1" s="16" t="str">
        <v>% de Atraso</v>
      </c>
      <c r="P1" s="38" t="str">
        <v>% de PDD</v>
      </c>
      <c r="Q1" s="9" t="str">
        <v>Cash+Over/PL</v>
      </c>
    </row>
    <row r="2" spans="1:17" x14ac:dyDescent="0.5">
      <c r="A2" s="52" t="str">
        <v>Blipay Pool #1</v>
      </c>
      <c r="B2" s="53" t="str">
        <v>✗</v>
      </c>
      <c r="C2" s="54">
        <v>45864</v>
      </c>
      <c r="D2" s="55">
        <v>24</v>
      </c>
      <c r="E2" s="55">
        <v>5256808.43</v>
      </c>
      <c r="F2" s="55">
        <v>1573721.38</v>
      </c>
      <c r="G2" s="55">
        <v>3683087.05</v>
      </c>
      <c r="H2" s="55">
        <v>6982281.21</v>
      </c>
      <c r="I2" s="55">
        <v>1710424.61</v>
      </c>
      <c r="J2" s="55">
        <v>0</v>
      </c>
      <c r="K2" s="55">
        <v>5000</v>
      </c>
      <c r="L2" s="77">
        <v>4.5599999999999996</v>
      </c>
      <c r="M2" s="56">
        <v>0.70099999999999996</v>
      </c>
      <c r="N2" s="57">
        <v>0.3</v>
      </c>
      <c r="O2" s="58">
        <v>0.79900000000000004</v>
      </c>
      <c r="P2" s="59">
        <v>30992.499</v>
      </c>
      <c r="Q2" s="60">
        <v>0.32537320558207983</v>
      </c>
    </row>
    <row r="3" spans="1:17" x14ac:dyDescent="0.5">
      <c r="A3" s="52" t="str">
        <v>Digcap Pool #2</v>
      </c>
      <c r="B3" s="53" t="str">
        <v>✗</v>
      </c>
      <c r="C3" s="54">
        <v>45883</v>
      </c>
      <c r="D3" s="55">
        <v>43</v>
      </c>
      <c r="E3" s="55">
        <v>997747.92</v>
      </c>
      <c r="F3" s="55">
        <v>486882.73</v>
      </c>
      <c r="G3" s="55">
        <v>510865.19</v>
      </c>
      <c r="H3" s="55">
        <v>990133.1</v>
      </c>
      <c r="I3" s="55">
        <v>0</v>
      </c>
      <c r="J3" s="55">
        <v>0</v>
      </c>
      <c r="K3" s="55">
        <v>1500</v>
      </c>
      <c r="L3" s="77">
        <v>2.9</v>
      </c>
      <c r="M3" s="56">
        <v>0.51200000000000001</v>
      </c>
      <c r="N3" s="57">
        <v>0.1</v>
      </c>
      <c r="O3" s="58">
        <v>0.214</v>
      </c>
      <c r="P3" s="59">
        <v>0</v>
      </c>
      <c r="Q3" s="60">
        <v>0</v>
      </c>
    </row>
    <row r="4" spans="1:17" x14ac:dyDescent="0.5">
      <c r="A4" s="52" t="str">
        <v>DS Pool #1</v>
      </c>
      <c r="B4" s="53" t="str">
        <v>✗</v>
      </c>
      <c r="C4" s="54">
        <v>45886</v>
      </c>
      <c r="D4" s="55">
        <v>46</v>
      </c>
      <c r="E4" s="55">
        <v>359897.99</v>
      </c>
      <c r="F4" s="55">
        <v>350931.35</v>
      </c>
      <c r="G4" s="55">
        <v>8966.64</v>
      </c>
      <c r="H4" s="55">
        <v>495180.89</v>
      </c>
      <c r="I4" s="55">
        <v>0</v>
      </c>
      <c r="J4" s="55">
        <v>0</v>
      </c>
      <c r="K4" s="55">
        <v>2500</v>
      </c>
      <c r="L4" s="77">
        <v>1.41</v>
      </c>
      <c r="M4" s="56">
        <v>2.5000000000000001E-2</v>
      </c>
      <c r="N4" s="57">
        <v>0.2</v>
      </c>
      <c r="O4" s="58">
        <v>1.3759999999999999</v>
      </c>
      <c r="P4" s="59">
        <v>1353.7239999999999</v>
      </c>
      <c r="Q4" s="60">
        <v>0</v>
      </c>
    </row>
    <row r="5" spans="1:17" x14ac:dyDescent="0.5">
      <c r="A5" s="52" t="str">
        <v>a55 Pool #2</v>
      </c>
      <c r="B5" s="53" t="str">
        <v>✗</v>
      </c>
      <c r="C5" s="54">
        <v>45913</v>
      </c>
      <c r="D5" s="55">
        <v>73</v>
      </c>
      <c r="E5" s="55">
        <v>107867.53</v>
      </c>
      <c r="F5" s="55">
        <v>0</v>
      </c>
      <c r="G5" s="55">
        <v>107867.53</v>
      </c>
      <c r="H5" s="55">
        <v>358969.61</v>
      </c>
      <c r="I5" s="55">
        <v>0</v>
      </c>
      <c r="J5" s="55">
        <v>0</v>
      </c>
      <c r="K5" s="55">
        <v>2000</v>
      </c>
      <c r="L5" s="77">
        <v>823397408.33000004</v>
      </c>
      <c r="M5" s="56">
        <v>1</v>
      </c>
      <c r="N5" s="57">
        <v>0.2</v>
      </c>
      <c r="O5" s="58">
        <v>3.3280000000000003</v>
      </c>
      <c r="P5" s="59">
        <v>2512.7870000000003</v>
      </c>
      <c r="Q5" s="60">
        <v>0</v>
      </c>
    </row>
    <row r="6" spans="1:17" x14ac:dyDescent="0.5">
      <c r="A6" s="52" t="str">
        <v>Dinie Pool #2</v>
      </c>
      <c r="B6" s="53" t="str">
        <v>✗</v>
      </c>
      <c r="C6" s="54">
        <v>45991</v>
      </c>
      <c r="D6" s="55">
        <v>151</v>
      </c>
      <c r="E6" s="55">
        <v>904190.05</v>
      </c>
      <c r="F6" s="55">
        <v>720271.24</v>
      </c>
      <c r="G6" s="55">
        <v>183918.81</v>
      </c>
      <c r="H6" s="55">
        <v>945426.2</v>
      </c>
      <c r="I6" s="55">
        <v>23386.74</v>
      </c>
      <c r="J6" s="55">
        <v>0</v>
      </c>
      <c r="K6" s="55">
        <v>6000</v>
      </c>
      <c r="L6" s="77">
        <v>1.4</v>
      </c>
      <c r="M6" s="56">
        <v>0.19899999999999998</v>
      </c>
      <c r="N6" s="57">
        <v>0.2</v>
      </c>
      <c r="O6" s="58">
        <v>0.61499999999999999</v>
      </c>
      <c r="P6" s="59">
        <v>704.73800000000006</v>
      </c>
      <c r="Q6" s="60">
        <v>2.5864849983695353E-2</v>
      </c>
    </row>
    <row r="7" spans="1:17" x14ac:dyDescent="0.5">
      <c r="A7" s="52" t="str">
        <v>UnionNational Pool #4</v>
      </c>
      <c r="B7" s="53" t="str">
        <v>✗</v>
      </c>
      <c r="C7" s="54">
        <v>46016</v>
      </c>
      <c r="D7" s="55">
        <v>176</v>
      </c>
      <c r="E7" s="55">
        <v>1150733.04</v>
      </c>
      <c r="F7" s="55">
        <v>889274.8</v>
      </c>
      <c r="G7" s="55">
        <v>261458.24</v>
      </c>
      <c r="H7" s="55">
        <v>1027338.96</v>
      </c>
      <c r="I7" s="55">
        <v>113394.08</v>
      </c>
      <c r="J7" s="55">
        <v>0</v>
      </c>
      <c r="K7" s="55">
        <v>10000</v>
      </c>
      <c r="L7" s="77">
        <v>1.18</v>
      </c>
      <c r="M7" s="56">
        <v>0.22699999999999998</v>
      </c>
      <c r="N7" s="57">
        <v>0.2</v>
      </c>
      <c r="O7" s="58">
        <v>2.8999999999999998E-2</v>
      </c>
      <c r="P7" s="59">
        <v>0</v>
      </c>
      <c r="Q7" s="60">
        <v>9.8540735390721029E-2</v>
      </c>
    </row>
    <row r="8" spans="1:17" x14ac:dyDescent="0.5">
      <c r="A8" s="52" t="str">
        <v>LC Investe Pool #2</v>
      </c>
      <c r="B8" s="53" t="str">
        <v>✗</v>
      </c>
      <c r="C8" s="54">
        <v>46053</v>
      </c>
      <c r="D8" s="55">
        <v>213</v>
      </c>
      <c r="E8" s="55">
        <v>983835.12</v>
      </c>
      <c r="F8" s="55">
        <v>829242.29</v>
      </c>
      <c r="G8" s="55">
        <v>154592.82999999999</v>
      </c>
      <c r="H8" s="55">
        <v>838793.35</v>
      </c>
      <c r="I8" s="55">
        <v>0</v>
      </c>
      <c r="J8" s="55">
        <v>66659.75</v>
      </c>
      <c r="K8" s="55">
        <v>4500</v>
      </c>
      <c r="L8" s="77">
        <v>1.1399999999999999</v>
      </c>
      <c r="M8" s="56">
        <v>0.157</v>
      </c>
      <c r="N8" s="57">
        <v>0.1</v>
      </c>
      <c r="O8" s="58" t="str">
        <v/>
      </c>
      <c r="P8" s="59">
        <v>0</v>
      </c>
      <c r="Q8" s="60">
        <v>6.7755001468132181E-2</v>
      </c>
    </row>
    <row r="9" spans="1:17" x14ac:dyDescent="0.5">
      <c r="A9" s="52" t="str">
        <v>Up Vendas #1</v>
      </c>
      <c r="B9" s="53" t="str">
        <v>✗</v>
      </c>
      <c r="C9" s="54">
        <v>46054</v>
      </c>
      <c r="D9" s="55">
        <v>214</v>
      </c>
      <c r="E9" s="55">
        <v>625064.9</v>
      </c>
      <c r="F9" s="55">
        <v>0.01</v>
      </c>
      <c r="G9" s="55">
        <v>625064.89</v>
      </c>
      <c r="H9" s="55">
        <v>621457.02</v>
      </c>
      <c r="I9" s="55">
        <v>3607.88</v>
      </c>
      <c r="J9" s="55">
        <v>0</v>
      </c>
      <c r="K9" s="55" t="str">
        <v/>
      </c>
      <c r="L9" s="77">
        <v>69913214.150000006</v>
      </c>
      <c r="M9" s="56">
        <v>1</v>
      </c>
      <c r="N9" s="57">
        <v>0.2</v>
      </c>
      <c r="O9" s="58">
        <v>0.19399999999999998</v>
      </c>
      <c r="P9" s="59">
        <v>0</v>
      </c>
      <c r="Q9" s="60">
        <v>5.7720086346233802E-3</v>
      </c>
    </row>
    <row r="10" spans="1:17" x14ac:dyDescent="0.5">
      <c r="A10" s="52" t="str">
        <v>SuperSim Pool #1</v>
      </c>
      <c r="B10" s="53" t="str">
        <v>✗</v>
      </c>
      <c r="C10" s="54">
        <v>46080</v>
      </c>
      <c r="D10" s="55">
        <v>240</v>
      </c>
      <c r="E10" s="55">
        <v>15952488.74</v>
      </c>
      <c r="F10" s="55">
        <v>6949202.5099999998</v>
      </c>
      <c r="G10" s="55">
        <v>9003286.2200000007</v>
      </c>
      <c r="H10" s="55">
        <v>19624254.579999998</v>
      </c>
      <c r="I10" s="55">
        <v>882910.25</v>
      </c>
      <c r="J10" s="55">
        <v>1818986.22</v>
      </c>
      <c r="K10" s="55">
        <v>100000</v>
      </c>
      <c r="L10" s="77">
        <v>3.21</v>
      </c>
      <c r="M10" s="56">
        <v>0.56399999999999995</v>
      </c>
      <c r="N10" s="57">
        <v>0.35</v>
      </c>
      <c r="O10" s="58">
        <v>0.52500000000000002</v>
      </c>
      <c r="P10" s="59">
        <v>58622.610999999997</v>
      </c>
      <c r="Q10" s="60">
        <v>0.16937147012209705</v>
      </c>
    </row>
    <row r="11" spans="1:17" x14ac:dyDescent="0.5">
      <c r="A11" s="52" t="str">
        <v>UnionNational Pool #3</v>
      </c>
      <c r="B11" s="53" t="str">
        <v>✗</v>
      </c>
      <c r="C11" s="54">
        <v>46191</v>
      </c>
      <c r="D11" s="55">
        <v>351</v>
      </c>
      <c r="E11" s="55">
        <v>890666.49</v>
      </c>
      <c r="F11" s="55">
        <v>665919.69999999995</v>
      </c>
      <c r="G11" s="55">
        <v>224746.79</v>
      </c>
      <c r="H11" s="55">
        <v>765870.14</v>
      </c>
      <c r="I11" s="55">
        <v>114796.35</v>
      </c>
      <c r="J11" s="55">
        <v>0</v>
      </c>
      <c r="K11" s="55">
        <v>10000</v>
      </c>
      <c r="L11" s="77">
        <v>1.17</v>
      </c>
      <c r="M11" s="56">
        <v>0.252</v>
      </c>
      <c r="N11" s="57">
        <v>0.2</v>
      </c>
      <c r="O11" s="58" t="str">
        <v/>
      </c>
      <c r="P11" s="59">
        <v>0</v>
      </c>
      <c r="Q11" s="60">
        <v>0.12888814308035773</v>
      </c>
    </row>
    <row r="12" spans="1:17" x14ac:dyDescent="0.5">
      <c r="A12" s="52" t="str">
        <v>BMDC Pool #1</v>
      </c>
      <c r="B12" s="53" t="str">
        <v>✗</v>
      </c>
      <c r="C12" s="54">
        <v>46256</v>
      </c>
      <c r="D12" s="55">
        <v>416</v>
      </c>
      <c r="E12" s="55">
        <v>1161330.25</v>
      </c>
      <c r="F12" s="55">
        <v>914875.73</v>
      </c>
      <c r="G12" s="55">
        <v>246454.52</v>
      </c>
      <c r="H12" s="55">
        <v>1131475.42</v>
      </c>
      <c r="I12" s="55">
        <v>20854.830000000002</v>
      </c>
      <c r="J12" s="55">
        <v>0</v>
      </c>
      <c r="K12" s="55">
        <v>9000</v>
      </c>
      <c r="L12" s="77">
        <v>1.44</v>
      </c>
      <c r="M12" s="56">
        <v>0.21199999999999999</v>
      </c>
      <c r="N12" s="57">
        <v>0.2</v>
      </c>
      <c r="O12" s="58" t="str">
        <v/>
      </c>
      <c r="P12" s="59">
        <v>0</v>
      </c>
      <c r="Q12" s="60">
        <v>1.7957708412400349E-2</v>
      </c>
    </row>
    <row r="13" spans="1:17" x14ac:dyDescent="0.5">
      <c r="A13" s="52" t="str">
        <v>Digcap Pool #3</v>
      </c>
      <c r="B13" s="53" t="str">
        <v>✗</v>
      </c>
      <c r="C13" s="54">
        <v>46298</v>
      </c>
      <c r="D13" s="55">
        <v>458</v>
      </c>
      <c r="E13" s="55">
        <v>2207607.1</v>
      </c>
      <c r="F13" s="55">
        <v>1382230.89</v>
      </c>
      <c r="G13" s="55">
        <v>825376.2</v>
      </c>
      <c r="H13" s="55">
        <v>2204193.0099999998</v>
      </c>
      <c r="I13" s="55">
        <v>0</v>
      </c>
      <c r="J13" s="55">
        <v>0</v>
      </c>
      <c r="K13" s="55">
        <v>5000</v>
      </c>
      <c r="L13" s="77">
        <v>2.0299999999999998</v>
      </c>
      <c r="M13" s="56">
        <v>0.374</v>
      </c>
      <c r="N13" s="57">
        <v>0.15</v>
      </c>
      <c r="O13" s="58">
        <v>9.9000000000000005E-2</v>
      </c>
      <c r="P13" s="59">
        <v>0</v>
      </c>
      <c r="Q13" s="60">
        <v>0</v>
      </c>
    </row>
    <row r="14" spans="1:17" x14ac:dyDescent="0.5">
      <c r="A14" s="52" t="str">
        <v>Formento Pool #2</v>
      </c>
      <c r="B14" s="53" t="str">
        <v>✗</v>
      </c>
      <c r="C14" s="54">
        <v>46318</v>
      </c>
      <c r="D14" s="55">
        <v>478</v>
      </c>
      <c r="E14" s="55">
        <v>2232620.6800000002</v>
      </c>
      <c r="F14" s="55">
        <v>1742367.1</v>
      </c>
      <c r="G14" s="55">
        <v>490253.58</v>
      </c>
      <c r="H14" s="55">
        <v>2090553.2</v>
      </c>
      <c r="I14" s="55">
        <v>138734.15</v>
      </c>
      <c r="J14" s="55">
        <v>0</v>
      </c>
      <c r="K14" s="55">
        <v>3333.33</v>
      </c>
      <c r="L14" s="77">
        <v>1.24</v>
      </c>
      <c r="M14" s="56">
        <v>0.22</v>
      </c>
      <c r="N14" s="57">
        <v>0.2</v>
      </c>
      <c r="O14" s="58">
        <v>0.03</v>
      </c>
      <c r="P14" s="59">
        <v>0</v>
      </c>
      <c r="Q14" s="60">
        <v>6.2139597309472196E-2</v>
      </c>
    </row>
    <row r="15" spans="1:17" x14ac:dyDescent="0.5">
      <c r="A15" s="52" t="str">
        <v>Pool Maralto #1</v>
      </c>
      <c r="B15" s="53" t="str">
        <v>✗</v>
      </c>
      <c r="C15" s="54">
        <v>46321</v>
      </c>
      <c r="D15" s="55">
        <v>481</v>
      </c>
      <c r="E15" s="55">
        <v>87571.839999999997</v>
      </c>
      <c r="F15" s="55">
        <v>91033.11</v>
      </c>
      <c r="G15" s="55">
        <v>0</v>
      </c>
      <c r="H15" s="55">
        <v>0</v>
      </c>
      <c r="I15" s="55">
        <v>107.7</v>
      </c>
      <c r="J15" s="55">
        <v>0</v>
      </c>
      <c r="K15" s="55">
        <v>0</v>
      </c>
      <c r="L15" s="77">
        <v>0</v>
      </c>
      <c r="M15" s="56" t="str">
        <v/>
      </c>
      <c r="N15" s="57">
        <v>0</v>
      </c>
      <c r="O15" s="58" t="str">
        <v/>
      </c>
      <c r="P15" s="59">
        <v>0</v>
      </c>
      <c r="Q15" s="60">
        <v>1.2298474030007821E-3</v>
      </c>
    </row>
    <row r="16" spans="1:17" x14ac:dyDescent="0.5">
      <c r="A16" s="52" t="str">
        <v>DS Pool #2</v>
      </c>
      <c r="B16" s="53" t="str">
        <v>✗</v>
      </c>
      <c r="C16" s="54">
        <v>46337</v>
      </c>
      <c r="D16" s="55">
        <v>497</v>
      </c>
      <c r="E16" s="55">
        <v>1452100.91</v>
      </c>
      <c r="F16" s="55">
        <v>1578336.88</v>
      </c>
      <c r="G16" s="55">
        <v>0</v>
      </c>
      <c r="H16" s="55">
        <v>2048826.49</v>
      </c>
      <c r="I16" s="55">
        <v>0</v>
      </c>
      <c r="J16" s="55">
        <v>0</v>
      </c>
      <c r="K16" s="55">
        <v>2500</v>
      </c>
      <c r="L16" s="77">
        <v>1.3</v>
      </c>
      <c r="M16" s="56">
        <v>-8.6999999999999994E-2</v>
      </c>
      <c r="N16" s="57">
        <v>0.2</v>
      </c>
      <c r="O16" s="58">
        <v>1.411</v>
      </c>
      <c r="P16" s="59">
        <v>5968.6630000000005</v>
      </c>
      <c r="Q16" s="60">
        <v>0</v>
      </c>
    </row>
    <row r="17" spans="1:17" x14ac:dyDescent="0.5">
      <c r="A17" s="52" t="str">
        <v>Zero Paralelo Pool #1</v>
      </c>
      <c r="B17" s="53" t="str">
        <v>✗</v>
      </c>
      <c r="C17" s="54">
        <v>46381</v>
      </c>
      <c r="D17" s="55">
        <v>541</v>
      </c>
      <c r="E17" s="55">
        <v>69181.990000000005</v>
      </c>
      <c r="F17" s="55">
        <v>0</v>
      </c>
      <c r="G17" s="55">
        <v>0</v>
      </c>
      <c r="H17" s="55">
        <v>0</v>
      </c>
      <c r="I17" s="55">
        <v>3851.67</v>
      </c>
      <c r="J17" s="55">
        <v>0</v>
      </c>
      <c r="K17" s="55">
        <v>0</v>
      </c>
      <c r="L17" s="77" t="str">
        <v/>
      </c>
      <c r="M17" s="56" t="str">
        <v/>
      </c>
      <c r="N17" s="57">
        <v>0</v>
      </c>
      <c r="O17" s="58" t="str">
        <v/>
      </c>
      <c r="P17" s="59">
        <v>0</v>
      </c>
      <c r="Q17" s="60">
        <v>5.5674460939906467E-2</v>
      </c>
    </row>
    <row r="18" spans="1:17" x14ac:dyDescent="0.5">
      <c r="A18" s="52" t="str">
        <v>E-ctare Pool #1</v>
      </c>
      <c r="B18" s="53" t="str">
        <v>✗</v>
      </c>
      <c r="C18" s="54">
        <v>46446</v>
      </c>
      <c r="D18" s="55">
        <v>606</v>
      </c>
      <c r="E18" s="55">
        <v>10419828.810000001</v>
      </c>
      <c r="F18" s="55">
        <v>8288231.8399999999</v>
      </c>
      <c r="G18" s="55">
        <v>2131596.98</v>
      </c>
      <c r="H18" s="55">
        <v>6881561.8200000003</v>
      </c>
      <c r="I18" s="55">
        <v>3914541.64</v>
      </c>
      <c r="J18" s="55">
        <v>0</v>
      </c>
      <c r="K18" s="55">
        <v>25000</v>
      </c>
      <c r="L18" s="77">
        <v>0.97</v>
      </c>
      <c r="M18" s="56">
        <v>0.20499999999999999</v>
      </c>
      <c r="N18" s="57">
        <v>0.2</v>
      </c>
      <c r="O18" s="58">
        <v>7.8E-2</v>
      </c>
      <c r="P18" s="59">
        <v>4012.7459999999996</v>
      </c>
      <c r="Q18" s="60">
        <v>0.37568195326233961</v>
      </c>
    </row>
    <row r="19" spans="1:17" x14ac:dyDescent="0.5">
      <c r="A19" s="52" t="str">
        <v>Credmei Pool #1</v>
      </c>
      <c r="B19" s="53" t="str">
        <v>✗</v>
      </c>
      <c r="C19" s="54">
        <v>46461</v>
      </c>
      <c r="D19" s="55">
        <v>621</v>
      </c>
      <c r="E19" s="55">
        <v>22393665.68</v>
      </c>
      <c r="F19" s="55">
        <v>17994486.809999999</v>
      </c>
      <c r="G19" s="55">
        <v>4399178.87</v>
      </c>
      <c r="H19" s="55">
        <v>19339725.41</v>
      </c>
      <c r="I19" s="55">
        <v>0</v>
      </c>
      <c r="J19" s="55">
        <v>0</v>
      </c>
      <c r="K19" s="55">
        <v>0</v>
      </c>
      <c r="L19" s="77">
        <v>1.1000000000000001</v>
      </c>
      <c r="M19" s="56">
        <v>0.19600000000000001</v>
      </c>
      <c r="N19" s="57">
        <v>0.1</v>
      </c>
      <c r="O19" s="58">
        <v>5.4000000000000006E-2</v>
      </c>
      <c r="P19" s="59">
        <v>4231.3440000000001</v>
      </c>
      <c r="Q19" s="60">
        <v>0</v>
      </c>
    </row>
    <row r="20" spans="1:17" x14ac:dyDescent="0.5">
      <c r="A20" s="52" t="str">
        <v>Pool Nexo #1</v>
      </c>
      <c r="B20" s="53" t="str">
        <v>✗</v>
      </c>
      <c r="C20" s="54">
        <v>46472</v>
      </c>
      <c r="D20" s="55">
        <v>632</v>
      </c>
      <c r="E20" s="55">
        <v>143232.59</v>
      </c>
      <c r="F20" s="55">
        <v>75987.05</v>
      </c>
      <c r="G20" s="55">
        <v>67245.55</v>
      </c>
      <c r="H20" s="55">
        <v>0</v>
      </c>
      <c r="I20" s="55">
        <v>1142.1400000000001</v>
      </c>
      <c r="J20" s="55">
        <v>0</v>
      </c>
      <c r="K20" s="55">
        <v>0</v>
      </c>
      <c r="L20" s="77">
        <v>0</v>
      </c>
      <c r="M20" s="56" t="str">
        <v/>
      </c>
      <c r="N20" s="57">
        <v>0.05</v>
      </c>
      <c r="O20" s="58" t="str">
        <v/>
      </c>
      <c r="P20" s="59">
        <v>0</v>
      </c>
      <c r="Q20" s="60">
        <v>7.974023230327679E-3</v>
      </c>
    </row>
    <row r="21" spans="1:17" x14ac:dyDescent="0.5">
      <c r="A21" s="52" t="str">
        <v>a55 Cartão Pool #1</v>
      </c>
      <c r="B21" s="53" t="str">
        <v>✗</v>
      </c>
      <c r="C21" s="54">
        <v>46478</v>
      </c>
      <c r="D21" s="55">
        <v>638</v>
      </c>
      <c r="E21" s="55">
        <v>12527224.32</v>
      </c>
      <c r="F21" s="55">
        <v>0</v>
      </c>
      <c r="G21" s="55">
        <v>12527224.32</v>
      </c>
      <c r="H21" s="55">
        <v>12501864.609999999</v>
      </c>
      <c r="I21" s="55">
        <v>25266.240000000002</v>
      </c>
      <c r="J21" s="55">
        <v>0</v>
      </c>
      <c r="K21" s="55">
        <v>0</v>
      </c>
      <c r="L21" s="77" t="str">
        <v/>
      </c>
      <c r="M21" s="56">
        <v>1</v>
      </c>
      <c r="N21" s="57">
        <v>0.01</v>
      </c>
      <c r="O21" s="58">
        <v>3.5000000000000003E-2</v>
      </c>
      <c r="P21" s="59">
        <v>0</v>
      </c>
      <c r="Q21" s="60">
        <v>2.016906487390177E-3</v>
      </c>
    </row>
    <row r="22" spans="1:17" x14ac:dyDescent="0.5">
      <c r="A22" s="52" t="str">
        <v>Faighus Pool #1</v>
      </c>
      <c r="B22" s="53" t="str">
        <v>✗</v>
      </c>
      <c r="C22" s="54">
        <v>46552</v>
      </c>
      <c r="D22" s="55">
        <v>712</v>
      </c>
      <c r="E22" s="55">
        <v>1396857.22</v>
      </c>
      <c r="F22" s="55">
        <v>1010296.78</v>
      </c>
      <c r="G22" s="55">
        <v>386560.44</v>
      </c>
      <c r="H22" s="55">
        <v>900513.72</v>
      </c>
      <c r="I22" s="55">
        <v>471727.71</v>
      </c>
      <c r="J22" s="55">
        <v>0</v>
      </c>
      <c r="K22" s="55">
        <v>25000</v>
      </c>
      <c r="L22" s="77">
        <v>0.96</v>
      </c>
      <c r="M22" s="56">
        <v>0.27699999999999997</v>
      </c>
      <c r="N22" s="57">
        <v>0.25</v>
      </c>
      <c r="O22" s="58">
        <v>2E-3</v>
      </c>
      <c r="P22" s="59">
        <v>3.8420000000000001</v>
      </c>
      <c r="Q22" s="60">
        <v>0.33770646222525164</v>
      </c>
    </row>
    <row r="23" spans="1:17" x14ac:dyDescent="0.5">
      <c r="A23" s="52" t="str">
        <v>Chronos Pool #1</v>
      </c>
      <c r="B23" s="53" t="str">
        <v>✗</v>
      </c>
      <c r="C23" s="54">
        <v>46552</v>
      </c>
      <c r="D23" s="55">
        <v>712</v>
      </c>
      <c r="E23" s="55">
        <v>1325225.01</v>
      </c>
      <c r="F23" s="55">
        <v>1003358.21</v>
      </c>
      <c r="G23" s="55">
        <v>321866.8</v>
      </c>
      <c r="H23" s="55">
        <v>374748.23</v>
      </c>
      <c r="I23" s="55">
        <v>925476.78</v>
      </c>
      <c r="J23" s="55">
        <v>0</v>
      </c>
      <c r="K23" s="55">
        <v>25000</v>
      </c>
      <c r="L23" s="77">
        <v>0.39</v>
      </c>
      <c r="M23" s="56">
        <v>0.24299999999999999</v>
      </c>
      <c r="N23" s="57">
        <v>0.25</v>
      </c>
      <c r="O23" s="58" t="str">
        <v/>
      </c>
      <c r="P23" s="59">
        <v>0</v>
      </c>
      <c r="Q23" s="60">
        <v>0.69835444774770739</v>
      </c>
    </row>
    <row r="24" spans="1:17" x14ac:dyDescent="0.5">
      <c r="A24" s="52" t="str">
        <v xml:space="preserve">Price Pool #1 </v>
      </c>
      <c r="B24" s="53" t="str">
        <v>✗</v>
      </c>
      <c r="C24" s="54">
        <v>46562</v>
      </c>
      <c r="D24" s="55">
        <v>722</v>
      </c>
      <c r="E24" s="55">
        <v>938118.34</v>
      </c>
      <c r="F24" s="55">
        <v>753149.64</v>
      </c>
      <c r="G24" s="55">
        <v>184968.7</v>
      </c>
      <c r="H24" s="55">
        <v>290662.69</v>
      </c>
      <c r="I24" s="55">
        <v>622455.65</v>
      </c>
      <c r="J24" s="55">
        <v>0</v>
      </c>
      <c r="K24" s="55">
        <v>25000</v>
      </c>
      <c r="L24" s="77">
        <v>0.4</v>
      </c>
      <c r="M24" s="56">
        <v>0.19699999999999998</v>
      </c>
      <c r="N24" s="57">
        <v>0.2</v>
      </c>
      <c r="O24" s="58" t="str">
        <v/>
      </c>
      <c r="P24" s="59">
        <v>0</v>
      </c>
      <c r="Q24" s="60">
        <v>0.66351506356863255</v>
      </c>
    </row>
    <row r="25" spans="1:17" x14ac:dyDescent="0.5">
      <c r="A25" s="52" t="str">
        <v>Blipay Pool #2</v>
      </c>
      <c r="B25" s="53" t="str">
        <v>✗</v>
      </c>
      <c r="C25" s="54">
        <v>46581</v>
      </c>
      <c r="D25" s="55">
        <v>741</v>
      </c>
      <c r="E25" s="55">
        <v>1223772.82</v>
      </c>
      <c r="F25" s="55">
        <v>962425.34</v>
      </c>
      <c r="G25" s="55">
        <v>261347.48</v>
      </c>
      <c r="H25" s="55">
        <v>2189138.04</v>
      </c>
      <c r="I25" s="55">
        <v>670497.87</v>
      </c>
      <c r="J25" s="55">
        <v>0</v>
      </c>
      <c r="K25" s="55">
        <v>25000</v>
      </c>
      <c r="L25" s="77">
        <v>2.65</v>
      </c>
      <c r="M25" s="56">
        <v>0.214</v>
      </c>
      <c r="N25" s="57">
        <v>0.3</v>
      </c>
      <c r="O25" s="58">
        <v>1.6719999999999999</v>
      </c>
      <c r="P25" s="59">
        <v>12659.073999999999</v>
      </c>
      <c r="Q25" s="60">
        <v>0.54789406909690963</v>
      </c>
    </row>
    <row r="26" spans="1:17" x14ac:dyDescent="0.5">
      <c r="A26" s="52" t="str">
        <v>Maralto Pool #2</v>
      </c>
      <c r="B26" s="53" t="str">
        <v>✗</v>
      </c>
      <c r="C26" s="54">
        <v>46605</v>
      </c>
      <c r="D26" s="55">
        <v>765</v>
      </c>
      <c r="E26" s="55">
        <v>1405531.56</v>
      </c>
      <c r="F26" s="55">
        <v>1508910.19</v>
      </c>
      <c r="G26" s="55">
        <v>0</v>
      </c>
      <c r="H26" s="55">
        <v>0</v>
      </c>
      <c r="I26" s="55">
        <v>80045.94</v>
      </c>
      <c r="J26" s="55">
        <v>0</v>
      </c>
      <c r="K26" s="55">
        <v>0</v>
      </c>
      <c r="L26" s="77">
        <v>0</v>
      </c>
      <c r="M26" s="56" t="str">
        <v/>
      </c>
      <c r="N26" s="57">
        <v>0</v>
      </c>
      <c r="O26" s="58" t="str">
        <v/>
      </c>
      <c r="P26" s="59">
        <v>0</v>
      </c>
      <c r="Q26" s="60">
        <v>5.6950652890355585E-2</v>
      </c>
    </row>
    <row r="27" spans="1:17" x14ac:dyDescent="0.5">
      <c r="A27" s="52" t="str">
        <v>Credmei Pool #2</v>
      </c>
      <c r="B27" s="53" t="str">
        <v>✗</v>
      </c>
      <c r="C27" s="54">
        <v>46688</v>
      </c>
      <c r="D27" s="55">
        <v>848</v>
      </c>
      <c r="E27" s="55">
        <v>23581390.949999999</v>
      </c>
      <c r="F27" s="55">
        <v>20611809.420000002</v>
      </c>
      <c r="G27" s="55">
        <v>2969581.53</v>
      </c>
      <c r="H27" s="55">
        <v>22660133.48</v>
      </c>
      <c r="I27" s="55">
        <v>0</v>
      </c>
      <c r="J27" s="55">
        <v>0</v>
      </c>
      <c r="K27" s="55">
        <v>0</v>
      </c>
      <c r="L27" s="77">
        <v>1.1399999999999999</v>
      </c>
      <c r="M27" s="56">
        <v>0.126</v>
      </c>
      <c r="N27" s="57">
        <v>0.1</v>
      </c>
      <c r="O27" s="58">
        <v>5.4000000000000006E-2</v>
      </c>
      <c r="P27" s="59">
        <v>2201.2979999999998</v>
      </c>
      <c r="Q27" s="60">
        <v>0</v>
      </c>
    </row>
    <row r="28" spans="1:17" x14ac:dyDescent="0.5">
      <c r="A28" s="52" t="str">
        <v>AmFi Renda Mensal</v>
      </c>
      <c r="B28" s="53" t="str">
        <v>✗</v>
      </c>
      <c r="C28" s="54">
        <v>46710</v>
      </c>
      <c r="D28" s="55">
        <v>870</v>
      </c>
      <c r="E28" s="55">
        <v>4620611.5999999996</v>
      </c>
      <c r="F28" s="55">
        <v>1977933.9</v>
      </c>
      <c r="G28" s="55">
        <v>583387.68000000005</v>
      </c>
      <c r="H28" s="55">
        <v>0</v>
      </c>
      <c r="I28" s="55">
        <v>26243.03</v>
      </c>
      <c r="J28" s="55">
        <v>0</v>
      </c>
      <c r="K28" s="55">
        <v>0</v>
      </c>
      <c r="L28" s="77">
        <v>0</v>
      </c>
      <c r="M28" s="56" t="str">
        <v/>
      </c>
      <c r="N28" s="57">
        <v>0.25</v>
      </c>
      <c r="O28" s="58" t="str">
        <v/>
      </c>
      <c r="P28" s="59">
        <v>0</v>
      </c>
      <c r="Q28" s="60">
        <v>5.6795576585575817E-3</v>
      </c>
    </row>
    <row r="29" spans="1:17" x14ac:dyDescent="0.5">
      <c r="A29" s="52" t="str">
        <v>B.Invest Pool #1</v>
      </c>
      <c r="B29" s="53" t="str">
        <v>✗</v>
      </c>
      <c r="C29" s="54">
        <v>46714</v>
      </c>
      <c r="D29" s="55">
        <v>874</v>
      </c>
      <c r="E29" s="55">
        <v>45611136.969999999</v>
      </c>
      <c r="F29" s="55">
        <v>38103713.719999999</v>
      </c>
      <c r="G29" s="55">
        <v>5828300.6699999999</v>
      </c>
      <c r="H29" s="55">
        <v>38984940.710000001</v>
      </c>
      <c r="I29" s="55">
        <v>1719105.41</v>
      </c>
      <c r="J29" s="55">
        <v>5002496.88</v>
      </c>
      <c r="K29" s="55">
        <v>18000</v>
      </c>
      <c r="L29" s="77">
        <v>1.07</v>
      </c>
      <c r="M29" s="56">
        <v>0.16500000000000001</v>
      </c>
      <c r="N29" s="57">
        <v>0.15</v>
      </c>
      <c r="O29" s="58">
        <v>3.5000000000000003E-2</v>
      </c>
      <c r="P29" s="59">
        <v>1080.9569999999999</v>
      </c>
      <c r="Q29" s="60">
        <v>0.14736756714530111</v>
      </c>
    </row>
    <row r="30" spans="1:17" x14ac:dyDescent="0.5">
      <c r="A30" s="52" t="str">
        <v>Formento Pool #4</v>
      </c>
      <c r="B30" s="53" t="str">
        <v>✗</v>
      </c>
      <c r="C30" s="54">
        <v>46723</v>
      </c>
      <c r="D30" s="55">
        <v>883</v>
      </c>
      <c r="E30" s="55">
        <v>2535611.4</v>
      </c>
      <c r="F30" s="55">
        <v>2031710.56</v>
      </c>
      <c r="G30" s="55">
        <v>503900.84</v>
      </c>
      <c r="H30" s="55">
        <v>2222898.7799999998</v>
      </c>
      <c r="I30" s="55">
        <v>287712.62</v>
      </c>
      <c r="J30" s="55">
        <v>0</v>
      </c>
      <c r="K30" s="55">
        <v>25000</v>
      </c>
      <c r="L30" s="77">
        <v>1.1399999999999999</v>
      </c>
      <c r="M30" s="56">
        <v>0.19899999999999998</v>
      </c>
      <c r="N30" s="57">
        <v>0.2</v>
      </c>
      <c r="O30" s="58">
        <v>5.0000000000000001E-3</v>
      </c>
      <c r="P30" s="59">
        <v>0</v>
      </c>
      <c r="Q30" s="60">
        <v>0.11346873578498662</v>
      </c>
    </row>
    <row r="31" spans="1:17" x14ac:dyDescent="0.5">
      <c r="A31" s="52" t="str">
        <v>Baru Pool #2</v>
      </c>
      <c r="B31" s="53" t="str">
        <v>✗</v>
      </c>
      <c r="C31" s="54">
        <v>46731</v>
      </c>
      <c r="D31" s="55">
        <v>891</v>
      </c>
      <c r="E31" s="55">
        <v>6759089.0800000001</v>
      </c>
      <c r="F31" s="55">
        <v>5050896.12</v>
      </c>
      <c r="G31" s="55">
        <v>1708192.96</v>
      </c>
      <c r="H31" s="55">
        <v>6727717.2300000004</v>
      </c>
      <c r="I31" s="55">
        <v>6458.77</v>
      </c>
      <c r="J31" s="55">
        <v>0</v>
      </c>
      <c r="K31" s="55">
        <v>25000</v>
      </c>
      <c r="L31" s="77">
        <v>1.7</v>
      </c>
      <c r="M31" s="56">
        <v>0.253</v>
      </c>
      <c r="N31" s="57">
        <v>0.25</v>
      </c>
      <c r="O31" s="58">
        <v>3.0000000000000001E-3</v>
      </c>
      <c r="P31" s="59">
        <v>0.86900000000000011</v>
      </c>
      <c r="Q31" s="60">
        <v>9.5556811332925945E-4</v>
      </c>
    </row>
    <row r="32" spans="1:17" x14ac:dyDescent="0.5">
      <c r="A32" s="52" t="str">
        <v>Poenatela Pool #1</v>
      </c>
      <c r="B32" s="53" t="str">
        <v>✗</v>
      </c>
      <c r="C32" s="54">
        <v>46755</v>
      </c>
      <c r="D32" s="55">
        <v>915</v>
      </c>
      <c r="E32" s="55">
        <v>11200962.890000001</v>
      </c>
      <c r="F32" s="55">
        <v>8190015.8700000001</v>
      </c>
      <c r="G32" s="55">
        <v>3010947.02</v>
      </c>
      <c r="H32" s="55">
        <v>11157756.189999999</v>
      </c>
      <c r="I32" s="55">
        <v>50356.2</v>
      </c>
      <c r="J32" s="55">
        <v>0</v>
      </c>
      <c r="K32" s="55">
        <v>22500</v>
      </c>
      <c r="L32" s="77">
        <v>1.4</v>
      </c>
      <c r="M32" s="56">
        <v>0.26899999999999996</v>
      </c>
      <c r="N32" s="57">
        <v>0.2</v>
      </c>
      <c r="O32" s="58">
        <v>0.115</v>
      </c>
      <c r="P32" s="59">
        <v>296.495</v>
      </c>
      <c r="Q32" s="60">
        <v>4.4957027797098608E-3</v>
      </c>
    </row>
    <row r="33" spans="1:17" x14ac:dyDescent="0.5">
      <c r="A33" s="52" t="str">
        <v>UnionNational Pool #5</v>
      </c>
      <c r="B33" s="53" t="str">
        <v>✗</v>
      </c>
      <c r="C33" s="54">
        <v>46755</v>
      </c>
      <c r="D33" s="55">
        <v>915</v>
      </c>
      <c r="E33" s="55">
        <v>9742627.1899999995</v>
      </c>
      <c r="F33" s="55">
        <v>7628612.6200000001</v>
      </c>
      <c r="G33" s="55">
        <v>2114014.5699999998</v>
      </c>
      <c r="H33" s="55">
        <v>8518996.9000000004</v>
      </c>
      <c r="I33" s="55">
        <v>1204021.18</v>
      </c>
      <c r="J33" s="55">
        <v>0</v>
      </c>
      <c r="K33" s="55">
        <v>30000</v>
      </c>
      <c r="L33" s="77">
        <v>1.1399999999999999</v>
      </c>
      <c r="M33" s="56">
        <v>0.217</v>
      </c>
      <c r="N33" s="57">
        <v>0.2</v>
      </c>
      <c r="O33" s="58">
        <v>0.01</v>
      </c>
      <c r="P33" s="59">
        <v>103.90899999999999</v>
      </c>
      <c r="Q33" s="60">
        <v>0.12358280333623235</v>
      </c>
    </row>
    <row r="34" spans="1:17" x14ac:dyDescent="0.5">
      <c r="A34" s="52" t="str">
        <v>a55 Cartão Pool #2</v>
      </c>
      <c r="B34" s="53" t="str">
        <v>✗</v>
      </c>
      <c r="C34" s="54">
        <v>46797</v>
      </c>
      <c r="D34" s="55">
        <v>957</v>
      </c>
      <c r="E34" s="55">
        <v>10961534.52</v>
      </c>
      <c r="F34" s="55">
        <v>9891358.1799999997</v>
      </c>
      <c r="G34" s="55">
        <v>1070176.33</v>
      </c>
      <c r="H34" s="55">
        <v>11047837.25</v>
      </c>
      <c r="I34" s="55">
        <v>0</v>
      </c>
      <c r="J34" s="55">
        <v>0</v>
      </c>
      <c r="K34" s="55">
        <v>25000</v>
      </c>
      <c r="L34" s="77">
        <v>1.1299999999999999</v>
      </c>
      <c r="M34" s="56">
        <v>9.8000000000000004E-2</v>
      </c>
      <c r="N34" s="57">
        <v>0.1</v>
      </c>
      <c r="O34" s="58">
        <v>8.900000000000001E-2</v>
      </c>
      <c r="P34" s="59">
        <v>1104.7839999999999</v>
      </c>
      <c r="Q34" s="60">
        <v>0</v>
      </c>
    </row>
    <row r="35" spans="1:17" x14ac:dyDescent="0.5">
      <c r="A35" s="52" t="str">
        <v>Digcap Pool #4</v>
      </c>
      <c r="B35" s="53" t="str">
        <v>✗</v>
      </c>
      <c r="C35" s="54">
        <v>46797</v>
      </c>
      <c r="D35" s="55">
        <v>957</v>
      </c>
      <c r="E35" s="55">
        <v>1811766.59</v>
      </c>
      <c r="F35" s="55">
        <v>1605294.26</v>
      </c>
      <c r="G35" s="55">
        <v>206472.33</v>
      </c>
      <c r="H35" s="55">
        <v>1798592.95</v>
      </c>
      <c r="I35" s="55">
        <v>0</v>
      </c>
      <c r="J35" s="55">
        <v>0</v>
      </c>
      <c r="K35" s="55">
        <v>15000</v>
      </c>
      <c r="L35" s="77">
        <v>1.81</v>
      </c>
      <c r="M35" s="56">
        <v>0.114</v>
      </c>
      <c r="N35" s="57">
        <v>0.1</v>
      </c>
      <c r="O35" s="58" t="str">
        <v/>
      </c>
      <c r="P35" s="59">
        <v>0</v>
      </c>
      <c r="Q35" s="60">
        <v>0</v>
      </c>
    </row>
    <row r="36" spans="1:17" x14ac:dyDescent="0.5">
      <c r="A36" s="52" t="str">
        <v>Formento Pool #3</v>
      </c>
      <c r="B36" s="53" t="str">
        <v>✗</v>
      </c>
      <c r="C36" s="54">
        <v>46813</v>
      </c>
      <c r="D36" s="55">
        <v>973</v>
      </c>
      <c r="E36" s="55">
        <v>2566599.7000000002</v>
      </c>
      <c r="F36" s="55">
        <v>2072431.45</v>
      </c>
      <c r="G36" s="55">
        <v>494168.25</v>
      </c>
      <c r="H36" s="55">
        <v>2524074.17</v>
      </c>
      <c r="I36" s="55">
        <v>36275.53</v>
      </c>
      <c r="J36" s="55">
        <v>0</v>
      </c>
      <c r="K36" s="55">
        <v>6250</v>
      </c>
      <c r="L36" s="77">
        <v>1.26</v>
      </c>
      <c r="M36" s="56">
        <v>0.193</v>
      </c>
      <c r="N36" s="57">
        <v>0.2</v>
      </c>
      <c r="O36" s="58">
        <v>4.4000000000000004E-2</v>
      </c>
      <c r="P36" s="59">
        <v>0</v>
      </c>
      <c r="Q36" s="60">
        <v>1.4133692137500053E-2</v>
      </c>
    </row>
    <row r="37" spans="1:17" x14ac:dyDescent="0.5">
      <c r="A37" s="52" t="str">
        <v>AFA Pool #1</v>
      </c>
      <c r="B37" s="53" t="str">
        <v>✓</v>
      </c>
      <c r="C37" s="54">
        <v>46819</v>
      </c>
      <c r="D37" s="55">
        <v>979</v>
      </c>
      <c r="E37" s="55">
        <v>26961609.18</v>
      </c>
      <c r="F37" s="55">
        <v>21133701.879999999</v>
      </c>
      <c r="G37" s="55">
        <v>2104572.5099999998</v>
      </c>
      <c r="H37" s="55">
        <v>5488892.4299999997</v>
      </c>
      <c r="I37" s="55">
        <v>922446.97</v>
      </c>
      <c r="J37" s="55">
        <v>20522058.129999999</v>
      </c>
      <c r="K37" s="55">
        <v>30000</v>
      </c>
      <c r="L37" s="77">
        <v>0.26</v>
      </c>
      <c r="M37" s="56">
        <v>0.21600000000000003</v>
      </c>
      <c r="N37" s="57">
        <v>0.25</v>
      </c>
      <c r="O37" s="58">
        <v>3.0000000000000001E-3</v>
      </c>
      <c r="P37" s="59">
        <v>17.884</v>
      </c>
      <c r="Q37" s="60">
        <v>0.795371854729926</v>
      </c>
    </row>
    <row r="38" spans="1:17" x14ac:dyDescent="0.5">
      <c r="A38" s="52" t="str">
        <v>LeCapital Pool #1</v>
      </c>
      <c r="B38" s="53" t="str">
        <v>✓</v>
      </c>
      <c r="C38" s="54">
        <v>46829</v>
      </c>
      <c r="D38" s="55">
        <v>989</v>
      </c>
      <c r="E38" s="55">
        <v>8694723.4399999995</v>
      </c>
      <c r="F38" s="55">
        <v>6521187.6699999999</v>
      </c>
      <c r="G38" s="55">
        <v>2173535.77</v>
      </c>
      <c r="H38" s="55">
        <v>2829822.05</v>
      </c>
      <c r="I38" s="55">
        <v>1503331.07</v>
      </c>
      <c r="J38" s="55">
        <v>4331570.32</v>
      </c>
      <c r="K38" s="55">
        <v>30000</v>
      </c>
      <c r="L38" s="77">
        <v>0.45</v>
      </c>
      <c r="M38" s="56">
        <v>0.25</v>
      </c>
      <c r="N38" s="57">
        <v>0.25</v>
      </c>
      <c r="O38" s="58">
        <v>9.0000000000000011E-3</v>
      </c>
      <c r="P38" s="59">
        <v>0</v>
      </c>
      <c r="Q38" s="60">
        <v>0.67108533471652332</v>
      </c>
    </row>
    <row r="39" spans="1:17" x14ac:dyDescent="0.5">
      <c r="A39" s="52" t="str">
        <v>Up Vendas Pool #2</v>
      </c>
      <c r="B39" s="53" t="str">
        <v>✗</v>
      </c>
      <c r="C39" s="54">
        <v>46871</v>
      </c>
      <c r="D39" s="55">
        <v>1031</v>
      </c>
      <c r="E39" s="55">
        <v>3968894.68</v>
      </c>
      <c r="F39" s="55">
        <v>2532323.23</v>
      </c>
      <c r="G39" s="55">
        <v>1436571.45</v>
      </c>
      <c r="H39" s="55">
        <v>3411432.89</v>
      </c>
      <c r="I39" s="55">
        <v>655084.59</v>
      </c>
      <c r="J39" s="55">
        <v>0</v>
      </c>
      <c r="K39" s="55">
        <v>7500</v>
      </c>
      <c r="L39" s="77">
        <v>1.42</v>
      </c>
      <c r="M39" s="56">
        <v>0.20100000000000001</v>
      </c>
      <c r="N39" s="57">
        <v>0.2</v>
      </c>
      <c r="O39" s="58">
        <v>1.9E-2</v>
      </c>
      <c r="P39" s="59">
        <v>170.572</v>
      </c>
      <c r="Q39" s="60">
        <v>0.16505466705909161</v>
      </c>
    </row>
    <row r="40" spans="1:17" x14ac:dyDescent="0.5">
      <c r="A40" s="52" t="str">
        <v>AmFi Renda Mensal #2</v>
      </c>
      <c r="B40" s="53" t="str">
        <v>✗</v>
      </c>
      <c r="C40" s="54">
        <v>46909</v>
      </c>
      <c r="D40" s="55">
        <v>1069</v>
      </c>
      <c r="E40" s="55">
        <v>108088.18</v>
      </c>
      <c r="F40" s="55">
        <v>52797.279999999999</v>
      </c>
      <c r="G40" s="55">
        <v>25574.71</v>
      </c>
      <c r="H40" s="55">
        <v>0</v>
      </c>
      <c r="I40" s="55">
        <v>33110.22</v>
      </c>
      <c r="J40" s="55">
        <v>0</v>
      </c>
      <c r="K40" s="55">
        <v>5000</v>
      </c>
      <c r="L40" s="77">
        <v>0</v>
      </c>
      <c r="M40" s="56" t="str">
        <v/>
      </c>
      <c r="N40" s="57">
        <v>0.25</v>
      </c>
      <c r="O40" s="58" t="str">
        <v/>
      </c>
      <c r="P40" s="59">
        <v>0</v>
      </c>
      <c r="Q40" s="60">
        <v>0.30632600160350559</v>
      </c>
    </row>
    <row r="41" spans="1:17" x14ac:dyDescent="0.5">
      <c r="A41" s="52" t="str">
        <v>Pool Nexo #2</v>
      </c>
      <c r="B41" s="53" t="str">
        <v>✗</v>
      </c>
      <c r="C41" s="54">
        <v>47208</v>
      </c>
      <c r="D41" s="55">
        <v>1368</v>
      </c>
      <c r="E41" s="55">
        <v>633103.17000000004</v>
      </c>
      <c r="F41" s="55">
        <v>633282.18000000005</v>
      </c>
      <c r="G41" s="55">
        <v>0</v>
      </c>
      <c r="H41" s="55">
        <v>0</v>
      </c>
      <c r="I41" s="55">
        <v>21654.83</v>
      </c>
      <c r="J41" s="55">
        <v>0</v>
      </c>
      <c r="K41" s="55">
        <v>0</v>
      </c>
      <c r="L41" s="77">
        <v>0</v>
      </c>
      <c r="M41" s="56" t="str">
        <v/>
      </c>
      <c r="N41" s="57">
        <v>0</v>
      </c>
      <c r="O41" s="58" t="str">
        <v/>
      </c>
      <c r="P41" s="59">
        <v>0</v>
      </c>
      <c r="Q41" s="60">
        <v>3.4204267212877802E-2</v>
      </c>
    </row>
    <row r="42" spans="1:17" x14ac:dyDescent="0.5">
      <c r="A42" s="52" t="str">
        <v>AmFi Alta Liquidez #2</v>
      </c>
      <c r="B42" s="53" t="str">
        <v>✗</v>
      </c>
      <c r="C42" s="54" t="str">
        <v/>
      </c>
      <c r="D42" s="55" t="str">
        <v/>
      </c>
      <c r="E42" s="55">
        <v>3276964.99</v>
      </c>
      <c r="F42" s="55">
        <v>1836180.92</v>
      </c>
      <c r="G42" s="55">
        <v>488895.55</v>
      </c>
      <c r="H42" s="55">
        <v>0</v>
      </c>
      <c r="I42" s="55">
        <v>50168.03</v>
      </c>
      <c r="J42" s="55">
        <v>0</v>
      </c>
      <c r="K42" s="55">
        <v>0</v>
      </c>
      <c r="L42" s="77">
        <v>0</v>
      </c>
      <c r="M42" s="56" t="str">
        <v/>
      </c>
      <c r="N42" s="57">
        <v>0.4</v>
      </c>
      <c r="O42" s="58" t="str">
        <v/>
      </c>
      <c r="P42" s="59">
        <v>0</v>
      </c>
      <c r="Q42" s="60">
        <v>1.5309296911347227E-2</v>
      </c>
    </row>
    <row r="43" spans="1:17" x14ac:dyDescent="0.5">
      <c r="A43" s="52" t="str">
        <v>AmFi Alta Liquidez</v>
      </c>
      <c r="B43" s="53" t="str">
        <v>✗</v>
      </c>
      <c r="C43" s="54" t="str">
        <v/>
      </c>
      <c r="D43" s="55" t="str">
        <v/>
      </c>
      <c r="E43" s="55">
        <v>4931225.84</v>
      </c>
      <c r="F43" s="55">
        <v>2150288.71</v>
      </c>
      <c r="G43" s="55">
        <v>1035355.29</v>
      </c>
      <c r="H43" s="55">
        <v>0</v>
      </c>
      <c r="I43" s="55">
        <v>58592.51</v>
      </c>
      <c r="J43" s="55">
        <v>0</v>
      </c>
      <c r="K43" s="55">
        <v>0</v>
      </c>
      <c r="L43" s="77">
        <v>0</v>
      </c>
      <c r="M43" s="56" t="str">
        <v/>
      </c>
      <c r="N43" s="57">
        <v>0.4</v>
      </c>
      <c r="O43" s="58" t="str">
        <v/>
      </c>
      <c r="P43" s="59">
        <v>0</v>
      </c>
      <c r="Q43" s="60">
        <v>1.1881936033982172E-2</v>
      </c>
    </row>
    <row r="44" spans="1:17" x14ac:dyDescent="0.5">
      <c r="A44" s="29"/>
      <c r="B44" s="30"/>
      <c r="C44" s="48"/>
      <c r="D44" s="31"/>
      <c r="E44" s="31"/>
      <c r="F44" s="31"/>
      <c r="G44" s="31"/>
      <c r="H44" s="31"/>
      <c r="I44" s="31"/>
      <c r="J44" s="31"/>
      <c r="K44" s="31"/>
      <c r="L44" s="78"/>
      <c r="M44" s="32"/>
      <c r="N44" s="34"/>
      <c r="O44" s="35"/>
      <c r="P44" s="39"/>
      <c r="Q44" s="33"/>
    </row>
    <row r="45" spans="1:17" x14ac:dyDescent="0.5">
      <c r="A45" s="21"/>
      <c r="C45" s="49"/>
      <c r="D45" s="25"/>
      <c r="E45" s="25"/>
      <c r="F45" s="25"/>
      <c r="G45" s="25"/>
      <c r="H45" s="25"/>
      <c r="I45" s="25"/>
      <c r="J45" s="25"/>
      <c r="K45" s="25"/>
      <c r="L45" s="79"/>
      <c r="M45" s="26"/>
      <c r="N45" s="27"/>
      <c r="O45" s="28"/>
      <c r="P45" s="40"/>
      <c r="Q45" s="19"/>
    </row>
    <row r="46" spans="1:17" x14ac:dyDescent="0.5">
      <c r="A46" s="21"/>
      <c r="C46" s="50"/>
      <c r="D46" s="17"/>
      <c r="E46" s="17"/>
      <c r="F46" s="17"/>
      <c r="G46" s="17"/>
      <c r="H46" s="17"/>
      <c r="I46" s="17"/>
      <c r="J46" s="17"/>
      <c r="K46" s="17"/>
      <c r="L46" s="80"/>
      <c r="M46" s="23"/>
      <c r="N46" s="18"/>
      <c r="O46" s="20"/>
      <c r="P46" s="40"/>
      <c r="Q46" s="19"/>
    </row>
    <row r="47" spans="1:17" x14ac:dyDescent="0.5">
      <c r="C47" s="50"/>
      <c r="D47" s="17"/>
      <c r="E47" s="17"/>
      <c r="F47" s="17"/>
      <c r="G47" s="17"/>
      <c r="H47" s="17"/>
      <c r="I47" s="17"/>
      <c r="J47" s="17"/>
      <c r="K47" s="17"/>
      <c r="L47" s="80"/>
      <c r="M47" s="23"/>
      <c r="N47" s="18"/>
      <c r="O47" s="20"/>
      <c r="P47" s="40"/>
      <c r="Q47" s="19"/>
    </row>
    <row r="48" spans="1:17" x14ac:dyDescent="0.5">
      <c r="C48" s="50"/>
      <c r="D48" s="17"/>
      <c r="E48" s="17"/>
      <c r="F48" s="17"/>
      <c r="G48" s="17"/>
      <c r="H48" s="17"/>
      <c r="I48" s="17"/>
      <c r="J48" s="17"/>
      <c r="K48" s="17"/>
      <c r="L48" s="80"/>
      <c r="M48" s="23"/>
      <c r="N48" s="18"/>
      <c r="O48" s="20"/>
      <c r="P48" s="40"/>
      <c r="Q48" s="19"/>
    </row>
    <row r="49" spans="3:17" x14ac:dyDescent="0.5">
      <c r="C49" s="50" t="str">
        <f t="array" ref="C49:D60">AmfiCalcularAdicionalIS(E37,M37,N37)</f>
        <v>Descrição</v>
      </c>
      <c r="D49" s="17" t="str">
        <v>Valor</v>
      </c>
      <c r="E49" s="17"/>
      <c r="F49" s="17"/>
      <c r="G49" s="17"/>
      <c r="H49" s="17"/>
      <c r="I49" s="17"/>
      <c r="J49" s="17"/>
      <c r="K49" s="17"/>
      <c r="L49" s="80"/>
      <c r="M49" s="23"/>
      <c r="N49" s="18"/>
      <c r="O49" s="20"/>
      <c r="P49" s="40"/>
      <c r="Q49" s="19"/>
    </row>
    <row r="50" spans="3:17" x14ac:dyDescent="0.5">
      <c r="C50" s="50" t="str">
        <v>PL Inicial</v>
      </c>
      <c r="D50" s="17">
        <v>26961609.18</v>
      </c>
      <c r="E50" s="17"/>
      <c r="F50" s="17"/>
      <c r="G50" s="17"/>
      <c r="H50" s="17"/>
      <c r="I50" s="17"/>
      <c r="J50" s="17"/>
      <c r="K50" s="17"/>
      <c r="L50" s="80"/>
      <c r="M50" s="23"/>
      <c r="N50" s="18"/>
      <c r="O50" s="20"/>
      <c r="P50" s="40"/>
      <c r="Q50" s="19"/>
    </row>
    <row r="51" spans="3:17" x14ac:dyDescent="0.5">
      <c r="C51" s="51" t="str">
        <v>JR Inicial</v>
      </c>
      <c r="D51" s="7">
        <v>5823707.5828800006</v>
      </c>
    </row>
    <row r="52" spans="3:17" x14ac:dyDescent="0.5">
      <c r="C52" s="51" t="str">
        <v>SR Inicial</v>
      </c>
      <c r="D52" s="7">
        <v>21137901.597119998</v>
      </c>
    </row>
    <row r="53" spans="3:17" x14ac:dyDescent="0.5">
      <c r="C53" s="51" t="str">
        <v>IS Inicial (%)</v>
      </c>
      <c r="D53" s="82">
        <v>21.6</v>
      </c>
    </row>
    <row r="54" spans="3:17" x14ac:dyDescent="0.5">
      <c r="C54" s="51" t="str">
        <v/>
      </c>
      <c r="D54" s="7" t="str">
        <v/>
      </c>
    </row>
    <row r="55" spans="3:17" x14ac:dyDescent="0.5">
      <c r="C55" s="51" t="str">
        <v>Adicional Necessário</v>
      </c>
      <c r="D55" s="7">
        <v>1222259.616159999</v>
      </c>
    </row>
    <row r="56" spans="3:17" x14ac:dyDescent="0.5">
      <c r="C56" s="51" t="str">
        <v/>
      </c>
      <c r="D56" s="7" t="str">
        <v/>
      </c>
    </row>
    <row r="57" spans="3:17" x14ac:dyDescent="0.5">
      <c r="C57" s="51" t="str">
        <v>JR Final</v>
      </c>
      <c r="D57" s="7">
        <v>7045967.1990399994</v>
      </c>
    </row>
    <row r="58" spans="3:17" x14ac:dyDescent="0.5">
      <c r="C58" s="51" t="str">
        <v>PL Final</v>
      </c>
      <c r="D58" s="7">
        <v>28183868.796159998</v>
      </c>
    </row>
    <row r="59" spans="3:17" x14ac:dyDescent="0.5">
      <c r="C59" s="51" t="str">
        <v>SR Final</v>
      </c>
      <c r="D59" s="7">
        <v>21137901.597119998</v>
      </c>
    </row>
    <row r="60" spans="3:17" x14ac:dyDescent="0.5">
      <c r="C60" s="51" t="str">
        <v>IS Final (%)</v>
      </c>
      <c r="D60" s="7">
        <v>25</v>
      </c>
    </row>
  </sheetData>
  <conditionalFormatting sqref="Q2:Q44">
    <cfRule type="expression" dxfId="1" priority="2">
      <formula>$P2&gt;5%</formula>
    </cfRule>
  </conditionalFormatting>
  <conditionalFormatting sqref="M2:M44">
    <cfRule type="expression" dxfId="0" priority="1">
      <formula>$M2&lt;$N2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B38BA-90BD-4D6F-BA97-AC173B9F4848}">
  <sheetPr codeName="Sheet5"/>
  <dimension ref="B1:X46"/>
  <sheetViews>
    <sheetView showGridLines="0" tabSelected="1" zoomScale="70" zoomScaleNormal="70" workbookViewId="0">
      <selection activeCell="C3" sqref="C3"/>
    </sheetView>
  </sheetViews>
  <sheetFormatPr defaultRowHeight="15.75" x14ac:dyDescent="0.5"/>
  <cols>
    <col min="1" max="1" width="2.5625" customWidth="1"/>
    <col min="2" max="2" width="12.4375" bestFit="1" customWidth="1"/>
    <col min="3" max="3" width="15.5" style="42" bestFit="1" customWidth="1"/>
    <col min="4" max="4" width="5.8125" style="42" customWidth="1"/>
    <col min="5" max="5" width="1.875" customWidth="1"/>
    <col min="6" max="6" width="9.9375" bestFit="1" customWidth="1"/>
    <col min="7" max="7" width="10.625" customWidth="1"/>
    <col min="8" max="8" width="9.625" bestFit="1" customWidth="1"/>
    <col min="10" max="10" width="2.0625" customWidth="1"/>
    <col min="11" max="11" width="53.75" bestFit="1" customWidth="1"/>
    <col min="12" max="12" width="10.625" style="46" bestFit="1" customWidth="1"/>
    <col min="13" max="13" width="9.625" bestFit="1" customWidth="1"/>
    <col min="14" max="14" width="13.8125" bestFit="1" customWidth="1"/>
    <col min="15" max="15" width="10.875" bestFit="1" customWidth="1"/>
    <col min="16" max="16" width="6.25" customWidth="1"/>
    <col min="17" max="17" width="15.0625" style="36" bestFit="1" customWidth="1"/>
    <col min="18" max="18" width="15.5" bestFit="1" customWidth="1"/>
    <col min="19" max="19" width="39.0625" bestFit="1" customWidth="1"/>
    <col min="20" max="20" width="56.1875" bestFit="1" customWidth="1"/>
    <col min="21" max="21" width="18.125" style="6" bestFit="1" customWidth="1"/>
    <col min="22" max="22" width="15.4375" style="3" bestFit="1" customWidth="1"/>
    <col min="23" max="23" width="11.4375" style="3" bestFit="1" customWidth="1"/>
    <col min="24" max="24" width="8.125" style="42" bestFit="1" customWidth="1"/>
  </cols>
  <sheetData>
    <row r="1" spans="2:24" x14ac:dyDescent="0.5">
      <c r="K1" s="71" t="s">
        <v>36</v>
      </c>
    </row>
    <row r="2" spans="2:24" x14ac:dyDescent="0.5">
      <c r="K2" s="72" t="s">
        <v>34</v>
      </c>
    </row>
    <row r="3" spans="2:24" x14ac:dyDescent="0.5">
      <c r="B3" s="4" t="s">
        <v>27</v>
      </c>
      <c r="C3" s="5">
        <f ca="1">TODAY()</f>
        <v>45845</v>
      </c>
      <c r="D3" s="5"/>
      <c r="F3" s="44" t="str">
        <f t="array" ref="F3:G21">AmFiReadJSON(selected_pool,"cronograma_amortizacao")</f>
        <v>data</v>
      </c>
      <c r="G3" s="45" t="str">
        <v>percentual</v>
      </c>
      <c r="H3" s="45" t="s">
        <v>28</v>
      </c>
      <c r="I3" s="45" t="s">
        <v>29</v>
      </c>
      <c r="K3" s="44" t="str">
        <f t="array" ref="K3:O9">AmfiConcentracao(portfolio_filepath,selected_pool,C$6,K2,,,ignore_lst)</f>
        <v>Empresa</v>
      </c>
      <c r="L3" s="63" t="str">
        <v>Valor</v>
      </c>
      <c r="M3" s="45" t="str">
        <v>Percentual</v>
      </c>
      <c r="N3" s="45" t="str">
        <v>Espaço/Excesso</v>
      </c>
      <c r="O3" s="45" t="str">
        <v>Status</v>
      </c>
      <c r="Q3" s="44" t="str">
        <f t="array" ref="Q3:X41">AmfiXLSX(selected_pool,,,,TRUE)</f>
        <v>Data do Arquivo</v>
      </c>
      <c r="R3" s="44" t="str">
        <v>Pool</v>
      </c>
      <c r="S3" s="44" t="str">
        <v>Nome do Sacado</v>
      </c>
      <c r="T3" s="44" t="str">
        <v>Nome do Cedente</v>
      </c>
      <c r="U3" s="62" t="str">
        <v>Valor presente (R$)</v>
      </c>
      <c r="V3" s="70" t="str">
        <v>Data de aquisição</v>
      </c>
      <c r="W3" s="70" t="str">
        <v>Vencimento</v>
      </c>
      <c r="X3" s="45" t="str">
        <v>Status</v>
      </c>
    </row>
    <row r="4" spans="2:24" x14ac:dyDescent="0.5">
      <c r="F4" s="64">
        <v>46302</v>
      </c>
      <c r="G4" s="65">
        <v>5.5555599999999998</v>
      </c>
      <c r="H4" s="66" cm="1">
        <f t="array" aca="1" ref="H4:H21" ca="1">OFFSET(F4,0,0,COUNTA(F:F)-1,1)-dtRef</f>
        <v>457</v>
      </c>
      <c r="I4" s="67" cm="1">
        <f t="array" aca="1" ref="I4:I21" ca="1">OFFSET(G4,0,0,COUNTA(G:G)-1,1)/100</f>
        <v>5.5555599999999997E-2</v>
      </c>
      <c r="K4" t="str">
        <v>AGROLESTE CEREALISTA LTDA</v>
      </c>
      <c r="L4" s="46">
        <v>2692237.63</v>
      </c>
      <c r="M4" s="61">
        <v>9.9854486133457113E-2</v>
      </c>
      <c r="N4" s="61">
        <v>0</v>
      </c>
      <c r="O4" t="str">
        <v>enquadrado</v>
      </c>
      <c r="Q4" s="36">
        <v>45840.292233796295</v>
      </c>
      <c r="R4" t="str">
        <v>AFA Pool #1</v>
      </c>
      <c r="S4" t="str">
        <v xml:space="preserve">REDE DOR SAO LUIZ S.A.                  </v>
      </c>
      <c r="T4" t="str">
        <v xml:space="preserve"> N1 DISTRIBUIDORA DE TECNOLOGIA LTDA</v>
      </c>
      <c r="U4" s="6">
        <v>22477.27</v>
      </c>
      <c r="V4" s="3">
        <v>45800</v>
      </c>
      <c r="W4" s="3">
        <v>45838</v>
      </c>
      <c r="X4" s="42" t="str">
        <v>Atrasada</v>
      </c>
    </row>
    <row r="5" spans="2:24" x14ac:dyDescent="0.5">
      <c r="B5" s="4" t="s">
        <v>21</v>
      </c>
      <c r="C5" s="69" t="s">
        <v>37</v>
      </c>
      <c r="D5" s="42" t="s">
        <v>33</v>
      </c>
      <c r="F5" s="64">
        <v>46333</v>
      </c>
      <c r="G5" s="65">
        <v>5.8823499999999997</v>
      </c>
      <c r="H5" s="66">
        <f ca="1"/>
        <v>488</v>
      </c>
      <c r="I5" s="68">
        <f ca="1"/>
        <v>5.8823500000000001E-2</v>
      </c>
      <c r="K5" t="str">
        <v>AGRIFOODS COMERCIO E TRANSPORTE INTERNACIONAL LTDA</v>
      </c>
      <c r="L5" s="46">
        <v>1836279.95</v>
      </c>
      <c r="M5" s="61">
        <v>6.8107208948127038E-2</v>
      </c>
      <c r="N5" s="61">
        <v>0</v>
      </c>
      <c r="O5" t="str">
        <v>enquadrado</v>
      </c>
      <c r="Q5" s="36">
        <v>45840.292233796295</v>
      </c>
      <c r="R5" t="str">
        <v>AFA Pool #1</v>
      </c>
      <c r="S5" t="str">
        <v xml:space="preserve">HOSPITAL NOVO ATIBAIA S.A.              </v>
      </c>
      <c r="T5" t="str">
        <v xml:space="preserve"> N1 DISTRIBUIDORA DE TECNOLOGIA LTDA</v>
      </c>
      <c r="U5" s="6">
        <v>19135.16</v>
      </c>
      <c r="V5" s="3">
        <v>45800</v>
      </c>
      <c r="W5" s="3">
        <v>45838</v>
      </c>
      <c r="X5" s="42" t="str">
        <v>Atrasada</v>
      </c>
    </row>
    <row r="6" spans="2:24" x14ac:dyDescent="0.5">
      <c r="B6" s="4" t="s">
        <v>22</v>
      </c>
      <c r="C6" s="7">
        <f t="shared" ref="C6:C12" si="0">VLOOKUP(selected_pool,dashboard,MATCH(B6,dahsboard_header,0),0)</f>
        <v>26961609.18</v>
      </c>
      <c r="D6" s="7"/>
      <c r="F6" s="64">
        <v>46363</v>
      </c>
      <c r="G6" s="65">
        <v>6.25</v>
      </c>
      <c r="H6" s="66">
        <f ca="1"/>
        <v>518</v>
      </c>
      <c r="I6" s="68">
        <f ca="1"/>
        <v>6.25E-2</v>
      </c>
      <c r="K6" t="str">
        <v>AFA HIGH YIELD CREDIT OPPORTUNITY - FIDC</v>
      </c>
      <c r="L6" s="46">
        <v>1013992.58</v>
      </c>
      <c r="M6" s="61">
        <v>3.7608755962243348E-2</v>
      </c>
      <c r="N6" s="61">
        <v>0</v>
      </c>
      <c r="O6" t="str">
        <v>enquadrado</v>
      </c>
      <c r="Q6" s="36">
        <v>45840.292233796295</v>
      </c>
      <c r="R6" t="str">
        <v>AFA Pool #1</v>
      </c>
      <c r="S6" t="str">
        <v>REDE DOR SAO LUIZ S/A - UNIDADE ANALIA F</v>
      </c>
      <c r="T6" t="str">
        <v xml:space="preserve"> N1 DISTRIBUIDORA DE TECNOLOGIA LTDA</v>
      </c>
      <c r="U6" s="6">
        <v>14114.91</v>
      </c>
      <c r="V6" s="3">
        <v>45800</v>
      </c>
      <c r="W6" s="3">
        <v>45838</v>
      </c>
      <c r="X6" s="42" t="str">
        <v>Atrasada</v>
      </c>
    </row>
    <row r="7" spans="2:24" x14ac:dyDescent="0.5">
      <c r="B7" s="4" t="s">
        <v>23</v>
      </c>
      <c r="C7" s="7">
        <f t="shared" si="0"/>
        <v>21133701.879999999</v>
      </c>
      <c r="D7" s="7"/>
      <c r="F7" s="64">
        <v>46394</v>
      </c>
      <c r="G7" s="65">
        <v>6.6666699999999999</v>
      </c>
      <c r="H7" s="66">
        <f ca="1"/>
        <v>549</v>
      </c>
      <c r="I7" s="68">
        <f ca="1"/>
        <v>6.6666699999999995E-2</v>
      </c>
      <c r="K7" t="str">
        <v>MEGABRAYN DO BRASIL LTDA</v>
      </c>
      <c r="L7" s="46">
        <v>590434.39</v>
      </c>
      <c r="M7" s="61">
        <v>2.1899078280460411E-2</v>
      </c>
      <c r="N7" s="61">
        <v>0</v>
      </c>
      <c r="O7" t="str">
        <v>enquadrado</v>
      </c>
      <c r="Q7" s="36">
        <v>45840.292233796295</v>
      </c>
      <c r="R7" t="str">
        <v>AFA Pool #1</v>
      </c>
      <c r="S7" t="str">
        <v xml:space="preserve">REDE DOR SAO LUIZ S/A - UNIDADE SINO BR </v>
      </c>
      <c r="T7" t="str">
        <v xml:space="preserve"> N1 DISTRIBUIDORA DE TECNOLOGIA LTDA</v>
      </c>
      <c r="U7" s="6">
        <v>6133.92</v>
      </c>
      <c r="V7" s="3">
        <v>45800</v>
      </c>
      <c r="W7" s="3">
        <v>45838</v>
      </c>
      <c r="X7" s="42" t="str">
        <v>Atrasada</v>
      </c>
    </row>
    <row r="8" spans="2:24" x14ac:dyDescent="0.5">
      <c r="B8" s="4" t="s">
        <v>24</v>
      </c>
      <c r="C8" s="7">
        <f t="shared" si="0"/>
        <v>2104572.5099999998</v>
      </c>
      <c r="D8" s="7"/>
      <c r="F8" s="64">
        <v>46425</v>
      </c>
      <c r="G8" s="65">
        <v>7.1428599999999998</v>
      </c>
      <c r="H8" s="66">
        <f ca="1"/>
        <v>580</v>
      </c>
      <c r="I8" s="68">
        <f ca="1"/>
        <v>7.1428599999999995E-2</v>
      </c>
      <c r="K8" t="str">
        <v xml:space="preserve"> N1 DISTRIBUIDORA DE TECNOLOGIA LTDA</v>
      </c>
      <c r="L8" s="46">
        <v>357670.58999999997</v>
      </c>
      <c r="M8" s="61">
        <v>1.3265921466783903E-2</v>
      </c>
      <c r="N8" s="61">
        <v>0</v>
      </c>
      <c r="O8" t="str">
        <v>enquadrado</v>
      </c>
      <c r="Q8" s="36">
        <v>45840.292233796295</v>
      </c>
      <c r="R8" t="str">
        <v>AFA Pool #1</v>
      </c>
      <c r="S8" t="str">
        <v>REDE DOR SAO LUIZ S/A - UNIDADE JABAQUAR</v>
      </c>
      <c r="T8" t="str">
        <v xml:space="preserve"> N1 DISTRIBUIDORA DE TECNOLOGIA LTDA</v>
      </c>
      <c r="U8" s="6">
        <v>3162.82</v>
      </c>
      <c r="V8" s="3">
        <v>45800</v>
      </c>
      <c r="W8" s="3">
        <v>45838</v>
      </c>
      <c r="X8" s="42" t="str">
        <v>Atrasada</v>
      </c>
    </row>
    <row r="9" spans="2:24" x14ac:dyDescent="0.5">
      <c r="B9" s="4" t="s">
        <v>25</v>
      </c>
      <c r="C9" s="7">
        <f t="shared" si="0"/>
        <v>922446.97</v>
      </c>
      <c r="D9" s="37"/>
      <c r="F9" s="64">
        <v>46453</v>
      </c>
      <c r="G9" s="65">
        <v>7.69231</v>
      </c>
      <c r="H9" s="66">
        <f ca="1"/>
        <v>608</v>
      </c>
      <c r="I9" s="68">
        <f ca="1"/>
        <v>7.6923099999999994E-2</v>
      </c>
      <c r="K9" t="str">
        <v>INBONE COMERCIO IMP E EXP DE PRODUTOS MEDICOS LTDA</v>
      </c>
      <c r="L9" s="46">
        <v>12269.869999999999</v>
      </c>
      <c r="M9" s="61">
        <v>4.5508670933119724E-4</v>
      </c>
      <c r="N9" s="61">
        <v>0</v>
      </c>
      <c r="O9" t="str">
        <v>enquadrado</v>
      </c>
      <c r="Q9" s="36">
        <v>45840.292233796295</v>
      </c>
      <c r="R9" t="str">
        <v>AFA Pool #1</v>
      </c>
      <c r="S9" t="str">
        <v>REDE DOR SAO LUIZ S/A - UNIDADE ASSUNCAO</v>
      </c>
      <c r="T9" t="str">
        <v xml:space="preserve"> N1 DISTRIBUIDORA DE TECNOLOGIA LTDA</v>
      </c>
      <c r="U9" s="6">
        <v>2555.16</v>
      </c>
      <c r="V9" s="3">
        <v>45800</v>
      </c>
      <c r="W9" s="3">
        <v>45838</v>
      </c>
      <c r="X9" s="42" t="str">
        <v>Atrasada</v>
      </c>
    </row>
    <row r="10" spans="2:24" x14ac:dyDescent="0.5">
      <c r="B10" s="4" t="s">
        <v>32</v>
      </c>
      <c r="C10" s="7">
        <f t="shared" si="0"/>
        <v>20522058.129999999</v>
      </c>
      <c r="D10" s="37"/>
      <c r="F10" s="64">
        <v>46484</v>
      </c>
      <c r="G10" s="65">
        <v>8.3333300000000001</v>
      </c>
      <c r="H10" s="66">
        <f ca="1"/>
        <v>639</v>
      </c>
      <c r="I10" s="68">
        <f ca="1"/>
        <v>8.3333299999999999E-2</v>
      </c>
      <c r="M10" s="61"/>
      <c r="N10" s="61"/>
      <c r="Q10" s="36">
        <v>45840.292233796295</v>
      </c>
      <c r="R10" t="str">
        <v>AFA Pool #1</v>
      </c>
      <c r="S10" t="str">
        <v xml:space="preserve">REDE DOR SAO LUIZ S/A - UNIDADE MORUMBI </v>
      </c>
      <c r="T10" t="str">
        <v xml:space="preserve"> N1 DISTRIBUIDORA DE TECNOLOGIA LTDA</v>
      </c>
      <c r="U10" s="6">
        <v>2442.9</v>
      </c>
      <c r="V10" s="3">
        <v>45800</v>
      </c>
      <c r="W10" s="3">
        <v>45838</v>
      </c>
      <c r="X10" s="42" t="str">
        <v>Atrasada</v>
      </c>
    </row>
    <row r="11" spans="2:24" x14ac:dyDescent="0.5">
      <c r="B11" s="4" t="s">
        <v>26</v>
      </c>
      <c r="C11" s="43">
        <f t="shared" si="0"/>
        <v>0.795371854729926</v>
      </c>
      <c r="F11" s="64">
        <v>46514</v>
      </c>
      <c r="G11" s="65">
        <v>9.0909099999999992</v>
      </c>
      <c r="H11" s="66">
        <f ca="1"/>
        <v>669</v>
      </c>
      <c r="I11" s="68">
        <f ca="1"/>
        <v>9.0909099999999993E-2</v>
      </c>
      <c r="M11" s="61"/>
      <c r="N11" s="61"/>
      <c r="Q11" s="36">
        <v>45840.292233796295</v>
      </c>
      <c r="R11" t="str">
        <v>AFA Pool #1</v>
      </c>
      <c r="S11" t="str">
        <v xml:space="preserve">SERRA MAYOR SERVICOS MEDICOS S/A        </v>
      </c>
      <c r="T11" t="str">
        <v xml:space="preserve"> N1 DISTRIBUIDORA DE TECNOLOGIA LTDA</v>
      </c>
      <c r="U11" s="6">
        <v>1729.92</v>
      </c>
      <c r="V11" s="3">
        <v>45800</v>
      </c>
      <c r="W11" s="3">
        <v>45838</v>
      </c>
      <c r="X11" s="42" t="str">
        <v>Atrasada</v>
      </c>
    </row>
    <row r="12" spans="2:24" x14ac:dyDescent="0.5">
      <c r="B12" s="4" t="s">
        <v>31</v>
      </c>
      <c r="C12" s="37">
        <f t="shared" si="0"/>
        <v>5488892.4299999997</v>
      </c>
      <c r="D12" s="6">
        <f>SUM(U:U)-C10-C12</f>
        <v>0</v>
      </c>
      <c r="F12" s="64">
        <v>46545</v>
      </c>
      <c r="G12" s="65">
        <v>10</v>
      </c>
      <c r="H12" s="66">
        <f ca="1"/>
        <v>700</v>
      </c>
      <c r="I12" s="68">
        <f ca="1"/>
        <v>0.1</v>
      </c>
      <c r="M12" s="61"/>
      <c r="N12" s="61"/>
      <c r="Q12" s="36">
        <v>45840.292233796295</v>
      </c>
      <c r="R12" t="str">
        <v>AFA Pool #1</v>
      </c>
      <c r="S12" t="str">
        <v xml:space="preserve">HOSPITAL ESPERANCA SA                   </v>
      </c>
      <c r="T12" t="str">
        <v xml:space="preserve"> N1 DISTRIBUIDORA DE TECNOLOGIA LTDA</v>
      </c>
      <c r="U12" s="6">
        <v>1505.52</v>
      </c>
      <c r="V12" s="3">
        <v>45800</v>
      </c>
      <c r="W12" s="3">
        <v>45838</v>
      </c>
      <c r="X12" s="42" t="str">
        <v>Atrasada</v>
      </c>
    </row>
    <row r="13" spans="2:24" x14ac:dyDescent="0.5">
      <c r="F13" s="64">
        <v>46575</v>
      </c>
      <c r="G13" s="65">
        <v>11.11111</v>
      </c>
      <c r="H13" s="66">
        <f ca="1"/>
        <v>730</v>
      </c>
      <c r="I13" s="68">
        <f ca="1"/>
        <v>0.1111111</v>
      </c>
      <c r="Q13" s="36">
        <v>45840.292233796295</v>
      </c>
      <c r="R13" t="str">
        <v>AFA Pool #1</v>
      </c>
      <c r="S13" t="str">
        <v xml:space="preserve">ONCO STAR SP ONCOLOGIA LTDA             </v>
      </c>
      <c r="T13" t="str">
        <v xml:space="preserve"> N1 DISTRIBUIDORA DE TECNOLOGIA LTDA</v>
      </c>
      <c r="U13" s="6">
        <v>1015.92</v>
      </c>
      <c r="V13" s="3">
        <v>45807</v>
      </c>
      <c r="W13" s="3">
        <v>45838</v>
      </c>
      <c r="X13" s="42" t="str">
        <v>Atrasada</v>
      </c>
    </row>
    <row r="14" spans="2:24" x14ac:dyDescent="0.5">
      <c r="F14" s="64">
        <v>46606</v>
      </c>
      <c r="G14" s="65">
        <v>12.5</v>
      </c>
      <c r="H14" s="66">
        <f ca="1"/>
        <v>761</v>
      </c>
      <c r="I14" s="68">
        <f ca="1"/>
        <v>0.125</v>
      </c>
      <c r="Q14" s="36">
        <v>45840.292233796295</v>
      </c>
      <c r="R14" t="str">
        <v>AFA Pool #1</v>
      </c>
      <c r="S14" t="str">
        <v xml:space="preserve">REDE D OR SAO LUIZ S.A - UNIDADE SAO CA </v>
      </c>
      <c r="T14" t="str">
        <v xml:space="preserve"> N1 DISTRIBUIDORA DE TECNOLOGIA LTDA</v>
      </c>
      <c r="U14" s="6">
        <v>977.16</v>
      </c>
      <c r="V14" s="3">
        <v>45800</v>
      </c>
      <c r="W14" s="3">
        <v>45838</v>
      </c>
      <c r="X14" s="42" t="str">
        <v>Atrasada</v>
      </c>
    </row>
    <row r="15" spans="2:24" x14ac:dyDescent="0.5">
      <c r="F15" s="64">
        <v>46637</v>
      </c>
      <c r="G15" s="65">
        <v>14.28571</v>
      </c>
      <c r="H15" s="66">
        <f ca="1"/>
        <v>792</v>
      </c>
      <c r="I15" s="68">
        <f ca="1"/>
        <v>0.14285709999999999</v>
      </c>
      <c r="Q15" s="36">
        <v>45840.292233796295</v>
      </c>
      <c r="R15" t="str">
        <v>AFA Pool #1</v>
      </c>
      <c r="S15" t="str">
        <v xml:space="preserve">HOSPITAL SANTA CRUZ SOCIEDADE ANONIMA   </v>
      </c>
      <c r="T15" t="str">
        <v xml:space="preserve"> N1 DISTRIBUIDORA DE TECNOLOGIA LTDA</v>
      </c>
      <c r="U15" s="6">
        <v>792.54</v>
      </c>
      <c r="V15" s="3">
        <v>45807</v>
      </c>
      <c r="W15" s="3">
        <v>45838</v>
      </c>
      <c r="X15" s="42" t="str">
        <v>Atrasada</v>
      </c>
    </row>
    <row r="16" spans="2:24" x14ac:dyDescent="0.5">
      <c r="F16" s="64">
        <v>46667</v>
      </c>
      <c r="G16" s="65">
        <v>16.66667</v>
      </c>
      <c r="H16" s="66">
        <f ca="1"/>
        <v>822</v>
      </c>
      <c r="I16" s="68">
        <f ca="1"/>
        <v>0.1666667</v>
      </c>
      <c r="K16" s="4" t="s">
        <v>35</v>
      </c>
      <c r="Q16" s="36">
        <v>45840.292233796295</v>
      </c>
      <c r="R16" t="str">
        <v>AFA Pool #1</v>
      </c>
      <c r="S16" t="str">
        <v xml:space="preserve">REDE DOR SAO LUIZ S/A - UNIDADE ITAIM   </v>
      </c>
      <c r="T16" t="str">
        <v xml:space="preserve"> N1 DISTRIBUIDORA DE TECNOLOGIA LTDA</v>
      </c>
      <c r="U16" s="6">
        <v>488.58</v>
      </c>
      <c r="V16" s="3">
        <v>45807</v>
      </c>
      <c r="W16" s="3">
        <v>45838</v>
      </c>
      <c r="X16" s="42" t="str">
        <v>Atrasada</v>
      </c>
    </row>
    <row r="17" spans="2:24" x14ac:dyDescent="0.5">
      <c r="C17" s="37">
        <f>+C6-B19</f>
        <v>21961609.18</v>
      </c>
      <c r="F17" s="64">
        <v>46698</v>
      </c>
      <c r="G17" s="65">
        <v>20</v>
      </c>
      <c r="H17" s="66">
        <f ca="1"/>
        <v>853</v>
      </c>
      <c r="I17" s="68">
        <f ca="1"/>
        <v>0.2</v>
      </c>
      <c r="K17" s="44" t="str">
        <f t="array" ref="K17:O43">AmfiConcentracao(portfolio_filepath,selected_pool,C$6,K16,,,ignore_lst)</f>
        <v>Empresa</v>
      </c>
      <c r="L17" s="63" t="str">
        <v>Valor</v>
      </c>
      <c r="M17" s="45" t="str">
        <v>Percentual</v>
      </c>
      <c r="N17" s="45" t="str">
        <v>Espaço/Excesso</v>
      </c>
      <c r="O17" s="45" t="str">
        <v>Status</v>
      </c>
      <c r="Q17" s="36">
        <v>45840.292233796295</v>
      </c>
      <c r="R17" t="str">
        <v>AFA Pool #1</v>
      </c>
      <c r="S17" t="str">
        <v xml:space="preserve">ADM DO BRASIL LTDA                      </v>
      </c>
      <c r="T17" t="str">
        <v>AGROLESTE CEREALISTA LTDA</v>
      </c>
      <c r="U17" s="6">
        <v>410808.39</v>
      </c>
      <c r="V17" s="3">
        <v>45833</v>
      </c>
      <c r="W17" s="3">
        <v>45840</v>
      </c>
      <c r="X17" s="42" t="str">
        <v>Em Dia</v>
      </c>
    </row>
    <row r="18" spans="2:24" x14ac:dyDescent="0.5">
      <c r="C18" s="37">
        <f>+C8-B22</f>
        <v>1904572.5099999998</v>
      </c>
      <c r="F18" s="64">
        <v>46728</v>
      </c>
      <c r="G18" s="65">
        <v>25</v>
      </c>
      <c r="H18" s="66">
        <f ca="1"/>
        <v>883</v>
      </c>
      <c r="I18" s="68">
        <f ca="1"/>
        <v>0.25</v>
      </c>
      <c r="K18" t="str">
        <v xml:space="preserve">CUTRALE TRADING BRASIL LTDA.            </v>
      </c>
      <c r="L18" s="74">
        <v>2283887.7800000003</v>
      </c>
      <c r="M18" s="75">
        <v>8.4708882350174333E-2</v>
      </c>
      <c r="N18" s="75">
        <v>0</v>
      </c>
      <c r="O18" t="str">
        <v>enquadrado</v>
      </c>
      <c r="Q18" s="36">
        <v>45840.292233796295</v>
      </c>
      <c r="R18" t="str">
        <v>AFA Pool #1</v>
      </c>
      <c r="S18" t="str">
        <v xml:space="preserve">CUTRALE TRADING BRASIL LTDA.            </v>
      </c>
      <c r="T18" t="str">
        <v>AGROLESTE CEREALISTA LTDA</v>
      </c>
      <c r="U18" s="6">
        <v>447607.83</v>
      </c>
      <c r="V18" s="3">
        <v>45828</v>
      </c>
      <c r="W18" s="3">
        <v>45842</v>
      </c>
      <c r="X18" s="42" t="str">
        <v>Em Dia</v>
      </c>
    </row>
    <row r="19" spans="2:24" x14ac:dyDescent="0.5">
      <c r="B19" s="83">
        <v>5000000</v>
      </c>
      <c r="C19" s="42">
        <f>+C18/C17</f>
        <v>8.6722812267074498E-2</v>
      </c>
      <c r="F19" s="64">
        <v>46759</v>
      </c>
      <c r="G19" s="65">
        <v>33.333329999999997</v>
      </c>
      <c r="H19" s="66">
        <f ca="1"/>
        <v>914</v>
      </c>
      <c r="I19" s="68">
        <f ca="1"/>
        <v>0.33333329999999994</v>
      </c>
      <c r="K19" t="str">
        <v xml:space="preserve">CARGILL AGRICOLA S A                    </v>
      </c>
      <c r="L19" s="74">
        <v>1833821.41</v>
      </c>
      <c r="M19" s="75">
        <v>6.8016022254351216E-2</v>
      </c>
      <c r="N19" s="75">
        <v>0</v>
      </c>
      <c r="O19" t="str">
        <v>enquadrado</v>
      </c>
      <c r="Q19" s="36">
        <v>45840.292233796295</v>
      </c>
      <c r="R19" t="str">
        <v>AFA Pool #1</v>
      </c>
      <c r="S19" t="str">
        <v xml:space="preserve">CARGILL AGRICOLA S A                    </v>
      </c>
      <c r="T19" t="str">
        <v>AGROLESTE CEREALISTA LTDA</v>
      </c>
      <c r="U19" s="6">
        <v>1833821.41</v>
      </c>
      <c r="V19" s="3">
        <v>45833</v>
      </c>
      <c r="W19" s="3">
        <v>45846</v>
      </c>
      <c r="X19" s="42" t="str">
        <v>Em Dia</v>
      </c>
    </row>
    <row r="20" spans="2:24" x14ac:dyDescent="0.5">
      <c r="B20" s="85">
        <f>+B19/C7</f>
        <v>0.23658893403487341</v>
      </c>
      <c r="F20" s="64">
        <v>46790</v>
      </c>
      <c r="G20" s="65">
        <v>50</v>
      </c>
      <c r="H20" s="66">
        <f ca="1"/>
        <v>945</v>
      </c>
      <c r="I20" s="68">
        <f ca="1"/>
        <v>0.5</v>
      </c>
      <c r="K20" t="str">
        <v>VERITAS FACILITIES LTDA</v>
      </c>
      <c r="L20" s="74">
        <v>1013992.58</v>
      </c>
      <c r="M20" s="75">
        <v>3.7608755962243348E-2</v>
      </c>
      <c r="N20" s="75">
        <v>0</v>
      </c>
      <c r="O20" t="str">
        <v>enquadrado</v>
      </c>
      <c r="Q20" s="36">
        <v>45840.292233796295</v>
      </c>
      <c r="R20" t="str">
        <v>AFA Pool #1</v>
      </c>
      <c r="S20" t="str">
        <v xml:space="preserve">HOSPITAL FLUMINENSE S/A                 </v>
      </c>
      <c r="T20" t="str">
        <v xml:space="preserve"> N1 DISTRIBUIDORA DE TECNOLOGIA LTDA</v>
      </c>
      <c r="U20" s="6">
        <v>10836.25</v>
      </c>
      <c r="V20" s="3">
        <v>45813</v>
      </c>
      <c r="W20" s="3">
        <v>45848</v>
      </c>
      <c r="X20" s="42" t="str">
        <v>Em Dia</v>
      </c>
    </row>
    <row r="21" spans="2:24" x14ac:dyDescent="0.5">
      <c r="B21" s="84">
        <v>0.04</v>
      </c>
      <c r="F21" s="64">
        <v>46819</v>
      </c>
      <c r="G21" s="65">
        <v>100</v>
      </c>
      <c r="H21" s="66">
        <f ca="1"/>
        <v>974</v>
      </c>
      <c r="I21" s="68">
        <f ca="1"/>
        <v>1</v>
      </c>
      <c r="K21" t="str">
        <v xml:space="preserve">AMAZON SERVICOS DE VAREJO DO BRASIL LTD </v>
      </c>
      <c r="L21" s="74">
        <v>590434.39</v>
      </c>
      <c r="M21" s="75">
        <v>2.1899078280460411E-2</v>
      </c>
      <c r="N21" s="75">
        <v>0</v>
      </c>
      <c r="O21" t="str">
        <v>enquadrado</v>
      </c>
      <c r="Q21" s="36">
        <v>45840.292233796295</v>
      </c>
      <c r="R21" t="str">
        <v>AFA Pool #1</v>
      </c>
      <c r="S21" t="str">
        <v xml:space="preserve">REDE DOR SAO LUIZ S/A - UNIDADE SINO BR </v>
      </c>
      <c r="T21" t="str">
        <v xml:space="preserve"> N1 DISTRIBUIDORA DE TECNOLOGIA LTDA</v>
      </c>
      <c r="U21" s="6">
        <v>4942.7299999999996</v>
      </c>
      <c r="V21" s="3">
        <v>45813</v>
      </c>
      <c r="W21" s="3">
        <v>45848</v>
      </c>
      <c r="X21" s="42" t="str">
        <v>Em Dia</v>
      </c>
    </row>
    <row r="22" spans="2:24" x14ac:dyDescent="0.5">
      <c r="B22" s="83">
        <f>+B21*B19</f>
        <v>200000</v>
      </c>
      <c r="K22" t="str">
        <v xml:space="preserve">ADM DO BRASIL LTDA                      </v>
      </c>
      <c r="L22" s="74">
        <v>410808.39</v>
      </c>
      <c r="M22" s="75">
        <v>1.5236790477058611E-2</v>
      </c>
      <c r="N22" s="75">
        <v>0</v>
      </c>
      <c r="O22" t="str">
        <v>enquadrado</v>
      </c>
      <c r="Q22" s="36">
        <v>45840.292233796295</v>
      </c>
      <c r="R22" t="str">
        <v>AFA Pool #1</v>
      </c>
      <c r="S22" t="str">
        <v xml:space="preserve">HOSPITAL NOVO ATIBAIA S.A.              </v>
      </c>
      <c r="T22" t="str">
        <v xml:space="preserve"> N1 DISTRIBUIDORA DE TECNOLOGIA LTDA</v>
      </c>
      <c r="U22" s="6">
        <v>3792.59</v>
      </c>
      <c r="V22" s="3">
        <v>45813</v>
      </c>
      <c r="W22" s="3">
        <v>45848</v>
      </c>
      <c r="X22" s="42" t="str">
        <v>Em Dia</v>
      </c>
    </row>
    <row r="23" spans="2:24" x14ac:dyDescent="0.5">
      <c r="K23" t="str">
        <v xml:space="preserve">REDE DOR SAO LUIZ S.A.                  </v>
      </c>
      <c r="L23" s="74">
        <v>139253.49</v>
      </c>
      <c r="M23" s="75">
        <v>5.1648805184557603E-3</v>
      </c>
      <c r="N23" s="75">
        <v>0</v>
      </c>
      <c r="O23" t="str">
        <v>enquadrado</v>
      </c>
      <c r="Q23" s="36">
        <v>45840.292233796295</v>
      </c>
      <c r="R23" t="str">
        <v>AFA Pool #1</v>
      </c>
      <c r="S23" t="str">
        <v xml:space="preserve">HOSPITAIS INTEGRADOS DA GAVEA S/A       </v>
      </c>
      <c r="T23" t="str">
        <v xml:space="preserve"> N1 DISTRIBUIDORA DE TECNOLOGIA LTDA</v>
      </c>
      <c r="U23" s="6">
        <v>2836.31</v>
      </c>
      <c r="V23" s="3">
        <v>45813</v>
      </c>
      <c r="W23" s="3">
        <v>45848</v>
      </c>
      <c r="X23" s="42" t="str">
        <v>Em Dia</v>
      </c>
    </row>
    <row r="24" spans="2:24" x14ac:dyDescent="0.5">
      <c r="K24" t="str">
        <v xml:space="preserve">HOSPITAL SAO RAFAEL S.A                 </v>
      </c>
      <c r="L24" s="74">
        <v>91253.81</v>
      </c>
      <c r="M24" s="75">
        <v>3.3845832194501083E-3</v>
      </c>
      <c r="N24" s="75">
        <v>0</v>
      </c>
      <c r="O24" t="str">
        <v>enquadrado</v>
      </c>
      <c r="Q24" s="36">
        <v>45840.292233796295</v>
      </c>
      <c r="R24" t="str">
        <v>AFA Pool #1</v>
      </c>
      <c r="S24" t="str">
        <v xml:space="preserve">REDE DOR SAO LUIZ S/A - UNIDADE ITAIM   </v>
      </c>
      <c r="T24" t="str">
        <v xml:space="preserve"> N1 DISTRIBUIDORA DE TECNOLOGIA LTDA</v>
      </c>
      <c r="U24" s="6">
        <v>2543.1000000000004</v>
      </c>
      <c r="V24" s="3">
        <v>45813</v>
      </c>
      <c r="W24" s="3">
        <v>45848</v>
      </c>
      <c r="X24" s="42" t="str">
        <v>Em Dia</v>
      </c>
    </row>
    <row r="25" spans="2:24" x14ac:dyDescent="0.5">
      <c r="K25" t="str">
        <v xml:space="preserve">HOSPITAL ESPERANCA SA                   </v>
      </c>
      <c r="L25" s="74">
        <v>37091.89</v>
      </c>
      <c r="M25" s="75">
        <v>1.3757298294908376E-3</v>
      </c>
      <c r="N25" s="75">
        <v>0</v>
      </c>
      <c r="O25" t="str">
        <v>enquadrado</v>
      </c>
      <c r="Q25" s="36">
        <v>45840.292233796295</v>
      </c>
      <c r="R25" t="str">
        <v>AFA Pool #1</v>
      </c>
      <c r="S25" t="str">
        <v xml:space="preserve">ONCO STAR SP ONCOLOGIA LTDA             </v>
      </c>
      <c r="T25" t="str">
        <v xml:space="preserve"> N1 DISTRIBUIDORA DE TECNOLOGIA LTDA</v>
      </c>
      <c r="U25" s="6">
        <v>428.42</v>
      </c>
      <c r="V25" s="3">
        <v>45825</v>
      </c>
      <c r="W25" s="3">
        <v>45848</v>
      </c>
      <c r="X25" s="42" t="str">
        <v>Em Dia</v>
      </c>
    </row>
    <row r="26" spans="2:24" x14ac:dyDescent="0.5">
      <c r="K26" t="str">
        <v xml:space="preserve">HOSPITAL NOVO ATIBAIA S.A.              </v>
      </c>
      <c r="L26" s="46">
        <v>22927.75</v>
      </c>
      <c r="M26" s="73">
        <v>8.5038507334375658E-4</v>
      </c>
      <c r="N26" s="73">
        <v>0</v>
      </c>
      <c r="O26" t="str">
        <v>enquadrado</v>
      </c>
      <c r="Q26" s="36">
        <v>45840.292233796295</v>
      </c>
      <c r="R26" t="str">
        <v>AFA Pool #1</v>
      </c>
      <c r="S26" t="str">
        <v xml:space="preserve">REDE D OR SAO LUIZ S.A - UNIDADE SAO CA </v>
      </c>
      <c r="T26" t="str">
        <v xml:space="preserve"> N1 DISTRIBUIDORA DE TECNOLOGIA LTDA</v>
      </c>
      <c r="U26" s="6">
        <v>3725.47</v>
      </c>
      <c r="V26" s="3">
        <v>45813</v>
      </c>
      <c r="W26" s="3">
        <v>45858</v>
      </c>
      <c r="X26" s="42" t="str">
        <v>Em Dia</v>
      </c>
    </row>
    <row r="27" spans="2:24" x14ac:dyDescent="0.5">
      <c r="K27" t="str">
        <v>REDE DOR SAO LUIZ S/A - UNIDADE ANALIA F</v>
      </c>
      <c r="L27" s="46">
        <v>18036.490000000002</v>
      </c>
      <c r="M27" s="73">
        <v>6.6896934376525969E-4</v>
      </c>
      <c r="N27" s="73">
        <v>0</v>
      </c>
      <c r="O27" t="str">
        <v>enquadrado</v>
      </c>
      <c r="Q27" s="36">
        <v>45840.292233796295</v>
      </c>
      <c r="R27" t="str">
        <v>AFA Pool #1</v>
      </c>
      <c r="S27" t="str">
        <v xml:space="preserve">PACIFICO OPERACOES HOSPITALARES S.A.    </v>
      </c>
      <c r="T27" t="str">
        <v xml:space="preserve"> N1 DISTRIBUIDORA DE TECNOLOGIA LTDA</v>
      </c>
      <c r="U27" s="6">
        <v>1818.54</v>
      </c>
      <c r="V27" s="3">
        <v>45813</v>
      </c>
      <c r="W27" s="3">
        <v>45858</v>
      </c>
      <c r="X27" s="42" t="str">
        <v>Em Dia</v>
      </c>
    </row>
    <row r="28" spans="2:24" x14ac:dyDescent="0.5">
      <c r="K28" t="str">
        <v xml:space="preserve">REDE DOR SAO LUIZ S/A - UNIDADE SINO BR </v>
      </c>
      <c r="L28" s="46">
        <v>11076.65</v>
      </c>
      <c r="M28" s="73">
        <v>4.1083044880780369E-4</v>
      </c>
      <c r="N28" s="73">
        <v>0</v>
      </c>
      <c r="O28" t="str">
        <v>enquadrado</v>
      </c>
      <c r="Q28" s="36">
        <v>45840.292233796295</v>
      </c>
      <c r="R28" t="str">
        <v>AFA Pool #1</v>
      </c>
      <c r="S28" t="str">
        <v xml:space="preserve">PRONCOR UNIDADE INTENSIVA CARDIORESPIRA </v>
      </c>
      <c r="T28" t="str">
        <v xml:space="preserve"> N1 DISTRIBUIDORA DE TECNOLOGIA LTDA</v>
      </c>
      <c r="U28" s="6">
        <v>995.91000000000008</v>
      </c>
      <c r="V28" s="3">
        <v>45825</v>
      </c>
      <c r="W28" s="3">
        <v>45858</v>
      </c>
      <c r="X28" s="42" t="str">
        <v>Em Dia</v>
      </c>
    </row>
    <row r="29" spans="2:24" x14ac:dyDescent="0.5">
      <c r="K29" t="str">
        <v xml:space="preserve">HOSPITAL FLUMINENSE S/A                 </v>
      </c>
      <c r="L29" s="46">
        <v>10836.25</v>
      </c>
      <c r="M29" s="73">
        <v>4.0191406705940541E-4</v>
      </c>
      <c r="N29" s="73">
        <v>0</v>
      </c>
      <c r="O29" t="str">
        <v>enquadrado</v>
      </c>
      <c r="Q29" s="36">
        <v>45840.292233796295</v>
      </c>
      <c r="R29" t="str">
        <v>AFA Pool #1</v>
      </c>
      <c r="S29" t="str">
        <v xml:space="preserve">HOSPITAL SANTA CRUZ SOCIEDADE ANONIMA   </v>
      </c>
      <c r="T29" t="str">
        <v xml:space="preserve"> N1 DISTRIBUIDORA DE TECNOLOGIA LTDA</v>
      </c>
      <c r="U29" s="6">
        <v>823.2</v>
      </c>
      <c r="V29" s="3">
        <v>45825</v>
      </c>
      <c r="W29" s="3">
        <v>45858</v>
      </c>
      <c r="X29" s="42" t="str">
        <v>Em Dia</v>
      </c>
    </row>
    <row r="30" spans="2:24" x14ac:dyDescent="0.5">
      <c r="K30" t="str">
        <v xml:space="preserve">REDE DOR SAO LUIZ S/A - UNIDADE MORUMBI </v>
      </c>
      <c r="L30" s="46">
        <v>10791.19</v>
      </c>
      <c r="M30" s="73">
        <v>4.0024280182819567E-4</v>
      </c>
      <c r="N30" s="73">
        <v>0</v>
      </c>
      <c r="O30" t="str">
        <v>enquadrado</v>
      </c>
      <c r="Q30" s="36">
        <v>45840.292233796295</v>
      </c>
      <c r="R30" t="str">
        <v>AFA Pool #1</v>
      </c>
      <c r="S30" t="str">
        <v xml:space="preserve">HOSPITAL NORTE D OR DE CASCADURA S.A    </v>
      </c>
      <c r="T30" t="str">
        <v xml:space="preserve"> N1 DISTRIBUIDORA DE TECNOLOGIA LTDA</v>
      </c>
      <c r="U30" s="6">
        <v>444.17</v>
      </c>
      <c r="V30" s="3">
        <v>45825</v>
      </c>
      <c r="W30" s="3">
        <v>45858</v>
      </c>
      <c r="X30" s="42" t="str">
        <v>Em Dia</v>
      </c>
    </row>
    <row r="31" spans="2:24" x14ac:dyDescent="0.5">
      <c r="K31" t="str">
        <v xml:space="preserve">REDE D OR SAO LUIZ S.A - UNIDADE SAO CA </v>
      </c>
      <c r="L31" s="46">
        <v>4702.63</v>
      </c>
      <c r="M31" s="73">
        <v>1.7441948544704778E-4</v>
      </c>
      <c r="N31" s="73">
        <v>0</v>
      </c>
      <c r="O31" t="str">
        <v>enquadrado</v>
      </c>
      <c r="Q31" s="36">
        <v>45840.292233796295</v>
      </c>
      <c r="R31" t="str">
        <v>AFA Pool #1</v>
      </c>
      <c r="S31" t="str">
        <v xml:space="preserve">HOSPITAL DE CLINICAS RIO MAR BARRA LTDA </v>
      </c>
      <c r="T31" t="str">
        <v xml:space="preserve"> N1 DISTRIBUIDORA DE TECNOLOGIA LTDA</v>
      </c>
      <c r="U31" s="6">
        <v>423.11</v>
      </c>
      <c r="V31" s="3">
        <v>45825</v>
      </c>
      <c r="W31" s="3">
        <v>45858</v>
      </c>
      <c r="X31" s="42" t="str">
        <v>Em Dia</v>
      </c>
    </row>
    <row r="32" spans="2:24" x14ac:dyDescent="0.5">
      <c r="K32" t="str">
        <v xml:space="preserve">SUL AMERICA COMPANHIA DE SEGURO SAUDE   </v>
      </c>
      <c r="L32" s="46">
        <v>3912.61</v>
      </c>
      <c r="M32" s="73">
        <v>1.451178219326151E-4</v>
      </c>
      <c r="N32" s="73">
        <v>0</v>
      </c>
      <c r="O32" t="str">
        <v>enquadrado</v>
      </c>
      <c r="Q32" s="36">
        <v>45840.292233796295</v>
      </c>
      <c r="R32" t="str">
        <v>AFA Pool #1</v>
      </c>
      <c r="S32" t="str">
        <v xml:space="preserve">AMAZON SERVICOS DE VAREJO DO BRASIL LTD </v>
      </c>
      <c r="T32" t="str">
        <v>MEGABRAYN DO BRASIL LTDA</v>
      </c>
      <c r="U32" s="6">
        <v>590434.39</v>
      </c>
      <c r="V32" s="3">
        <v>45834</v>
      </c>
      <c r="W32" s="3">
        <v>45864</v>
      </c>
      <c r="X32" s="42" t="str">
        <v>Em Dia</v>
      </c>
    </row>
    <row r="33" spans="11:24" x14ac:dyDescent="0.5">
      <c r="K33" t="str">
        <v>REDE DOR SAO LUIZ S/A - UNIDADE JABAQUAR</v>
      </c>
      <c r="L33" s="46">
        <v>3162.82</v>
      </c>
      <c r="M33" s="73">
        <v>1.1730828003938896E-4</v>
      </c>
      <c r="N33" s="73">
        <v>0</v>
      </c>
      <c r="O33" t="str">
        <v>enquadrado</v>
      </c>
      <c r="Q33" s="36">
        <v>45840.292233796295</v>
      </c>
      <c r="R33" t="str">
        <v>AFA Pool #1</v>
      </c>
      <c r="S33" t="str">
        <v xml:space="preserve">CUTRALE TRADING BRASIL LTDA.            </v>
      </c>
      <c r="T33" t="str">
        <v>AGRIFOODS COMERCIO E TRANSPORTE INTERNACIONAL LTDA</v>
      </c>
      <c r="U33" s="6">
        <v>1836279.95</v>
      </c>
      <c r="V33" s="3">
        <v>45813</v>
      </c>
      <c r="W33" s="3">
        <v>45868</v>
      </c>
      <c r="X33" s="42" t="str">
        <v>Em Dia</v>
      </c>
    </row>
    <row r="34" spans="11:24" x14ac:dyDescent="0.5">
      <c r="K34" t="str">
        <v xml:space="preserve">REDE DOR SAO LUIZ S/A - UNIDADE ITAIM   </v>
      </c>
      <c r="L34" s="46">
        <v>3031.6800000000003</v>
      </c>
      <c r="M34" s="73">
        <v>1.1244432703404391E-4</v>
      </c>
      <c r="N34" s="73">
        <v>0</v>
      </c>
      <c r="O34" t="str">
        <v>enquadrado</v>
      </c>
      <c r="Q34" s="36">
        <v>45840.292233796295</v>
      </c>
      <c r="R34" t="str">
        <v>AFA Pool #1</v>
      </c>
      <c r="S34" t="str">
        <v>REDE DOR SAO LUIZ S/A - UNIDADE ANALIA F</v>
      </c>
      <c r="T34" t="str">
        <v>INBONE COMERCIO IMP E EXP DE PRODUTOS MEDICOS LTDA</v>
      </c>
      <c r="U34" s="6">
        <v>3921.58</v>
      </c>
      <c r="V34" s="3">
        <v>45786</v>
      </c>
      <c r="W34" s="3">
        <v>45868</v>
      </c>
      <c r="X34" s="42" t="str">
        <v>Em Dia</v>
      </c>
    </row>
    <row r="35" spans="11:24" x14ac:dyDescent="0.5">
      <c r="K35" t="str">
        <v xml:space="preserve">HOSPITAIS INTEGRADOS DA GAVEA S/A       </v>
      </c>
      <c r="L35" s="46">
        <v>2836.31</v>
      </c>
      <c r="M35" s="73">
        <v>1.0519809782362552E-4</v>
      </c>
      <c r="N35" s="73">
        <v>0</v>
      </c>
      <c r="O35" t="str">
        <v>enquadrado</v>
      </c>
      <c r="Q35" s="36">
        <v>45840.292233796295</v>
      </c>
      <c r="R35" t="str">
        <v>AFA Pool #1</v>
      </c>
      <c r="S35" t="str">
        <v xml:space="preserve">SUL AMERICA COMPANHIA DE SEGURO SAUDE   </v>
      </c>
      <c r="T35" t="str">
        <v xml:space="preserve"> N1 DISTRIBUIDORA DE TECNOLOGIA LTDA</v>
      </c>
      <c r="U35" s="6">
        <v>3912.61</v>
      </c>
      <c r="V35" s="3">
        <v>45825</v>
      </c>
      <c r="W35" s="3">
        <v>45868</v>
      </c>
      <c r="X35" s="42" t="str">
        <v>Em Dia</v>
      </c>
    </row>
    <row r="36" spans="11:24" x14ac:dyDescent="0.5">
      <c r="K36" t="str">
        <v>REDE DOR SAO LUIZ S/A - UNIDADE ASSUNCAO</v>
      </c>
      <c r="L36" s="46">
        <v>2555.16</v>
      </c>
      <c r="M36" s="73">
        <v>9.4770307771370186E-5</v>
      </c>
      <c r="N36" s="73">
        <v>0</v>
      </c>
      <c r="O36" t="str">
        <v>enquadrado</v>
      </c>
      <c r="Q36" s="36">
        <v>45840.292233796295</v>
      </c>
      <c r="R36" t="str">
        <v>AFA Pool #1</v>
      </c>
      <c r="S36" t="str">
        <v xml:space="preserve">REDE DOR SAO LUIZ S/A - UNIDADE MORUMBI </v>
      </c>
      <c r="T36" t="str">
        <v>INBONE COMERCIO IMP E EXP DE PRODUTOS MEDICOS LTDA</v>
      </c>
      <c r="U36" s="6">
        <v>8348.2900000000009</v>
      </c>
      <c r="V36" s="3">
        <v>45786</v>
      </c>
      <c r="W36" s="3">
        <v>45874</v>
      </c>
      <c r="X36" s="42" t="str">
        <v>Em Dia</v>
      </c>
    </row>
    <row r="37" spans="11:24" x14ac:dyDescent="0.5">
      <c r="K37" t="str">
        <v xml:space="preserve">PACIFICO OPERACOES HOSPITALARES S.A.    </v>
      </c>
      <c r="L37" s="46">
        <v>1818.54</v>
      </c>
      <c r="M37" s="73">
        <v>6.7449238206040936E-5</v>
      </c>
      <c r="N37" s="73">
        <v>0</v>
      </c>
      <c r="O37" t="str">
        <v>enquadrado</v>
      </c>
      <c r="Q37" s="36">
        <v>45840.292233796295</v>
      </c>
      <c r="R37" t="str">
        <v>AFA Pool #1</v>
      </c>
      <c r="S37" t="str">
        <v xml:space="preserve">REDE DOR SAO LUIZ S.A.                  </v>
      </c>
      <c r="T37" t="str">
        <v xml:space="preserve"> N1 DISTRIBUIDORA DE TECNOLOGIA LTDA</v>
      </c>
      <c r="U37" s="6">
        <v>116776.22</v>
      </c>
      <c r="V37" s="3">
        <v>45813</v>
      </c>
      <c r="W37" s="3">
        <v>45879</v>
      </c>
      <c r="X37" s="42" t="str">
        <v>Em Dia</v>
      </c>
    </row>
    <row r="38" spans="11:24" x14ac:dyDescent="0.5">
      <c r="K38" t="str">
        <v xml:space="preserve">SERRA MAYOR SERVICOS MEDICOS S/A        </v>
      </c>
      <c r="L38" s="46">
        <v>1729.92</v>
      </c>
      <c r="M38" s="73">
        <v>6.4162342405113079E-5</v>
      </c>
      <c r="N38" s="73">
        <v>0</v>
      </c>
      <c r="O38" t="str">
        <v>enquadrado</v>
      </c>
      <c r="Q38" s="36">
        <v>45840.292233796295</v>
      </c>
      <c r="R38" t="str">
        <v>AFA Pool #1</v>
      </c>
      <c r="S38" t="str">
        <v xml:space="preserve">HOSPITAL SAO RAFAEL S.A                 </v>
      </c>
      <c r="T38" t="str">
        <v xml:space="preserve"> N1 DISTRIBUIDORA DE TECNOLOGIA LTDA</v>
      </c>
      <c r="U38" s="6">
        <v>91253.81</v>
      </c>
      <c r="V38" s="3">
        <v>45833</v>
      </c>
      <c r="W38" s="3">
        <v>45879</v>
      </c>
      <c r="X38" s="42" t="str">
        <v>Em Dia</v>
      </c>
    </row>
    <row r="39" spans="11:24" x14ac:dyDescent="0.5">
      <c r="K39" t="str">
        <v xml:space="preserve">HOSPITAL SANTA CRUZ SOCIEDADE ANONIMA   </v>
      </c>
      <c r="L39" s="46">
        <v>1615.74</v>
      </c>
      <c r="M39" s="73">
        <v>5.9927431972367162E-5</v>
      </c>
      <c r="N39" s="73">
        <v>0</v>
      </c>
      <c r="O39" t="str">
        <v>enquadrado</v>
      </c>
      <c r="Q39" s="36">
        <v>45840.292233796295</v>
      </c>
      <c r="R39" t="str">
        <v>AFA Pool #1</v>
      </c>
      <c r="S39" t="str">
        <v xml:space="preserve">HOSPITAL ESPERANCA SA                   </v>
      </c>
      <c r="T39" t="str">
        <v xml:space="preserve"> N1 DISTRIBUIDORA DE TECNOLOGIA LTDA</v>
      </c>
      <c r="U39" s="6">
        <v>35586.369999999995</v>
      </c>
      <c r="V39" s="3">
        <v>45813</v>
      </c>
      <c r="W39" s="3">
        <v>45879</v>
      </c>
      <c r="X39" s="42" t="str">
        <v>Em Dia</v>
      </c>
    </row>
    <row r="40" spans="11:24" x14ac:dyDescent="0.5">
      <c r="K40" t="str">
        <v xml:space="preserve">ONCO STAR SP ONCOLOGIA LTDA             </v>
      </c>
      <c r="L40" s="46">
        <v>1444.34</v>
      </c>
      <c r="M40" s="73">
        <v>5.3570244652585676E-5</v>
      </c>
      <c r="N40" s="73">
        <v>0</v>
      </c>
      <c r="O40" t="str">
        <v>enquadrado</v>
      </c>
      <c r="Q40" s="36">
        <v>45840.292233796295</v>
      </c>
      <c r="R40" t="str">
        <v>AFA Pool #1</v>
      </c>
      <c r="S40" t="str">
        <v/>
      </c>
      <c r="T40" t="str">
        <v>Amfi Digital Assets LTDA</v>
      </c>
      <c r="U40" s="6">
        <v>19508065.550000001</v>
      </c>
      <c r="V40" s="3">
        <v>45730</v>
      </c>
      <c r="W40" s="3">
        <v>45993</v>
      </c>
      <c r="X40" s="42" t="str">
        <v>Em Dia</v>
      </c>
    </row>
    <row r="41" spans="11:24" x14ac:dyDescent="0.5">
      <c r="K41" t="str">
        <v xml:space="preserve">PRONCOR UNIDADE INTENSIVA CARDIORESPIRA </v>
      </c>
      <c r="L41" s="46">
        <v>995.91000000000008</v>
      </c>
      <c r="M41" s="73">
        <v>3.6938077150779327E-5</v>
      </c>
      <c r="N41" s="73">
        <v>0</v>
      </c>
      <c r="O41" t="str">
        <v>enquadrado</v>
      </c>
      <c r="Q41" s="36">
        <v>45840.292233796295</v>
      </c>
      <c r="R41" t="str">
        <v>AFA Pool #1</v>
      </c>
      <c r="S41" t="str">
        <v>VERITAS FACILITIES LTDA</v>
      </c>
      <c r="T41" t="str">
        <v>AFA HIGH YIELD CREDIT OPPORTUNITY - FIDC</v>
      </c>
      <c r="U41" s="6">
        <v>1013992.58</v>
      </c>
      <c r="V41" s="3">
        <v>45728</v>
      </c>
      <c r="W41" s="3">
        <v>46039</v>
      </c>
      <c r="X41" s="42" t="str">
        <v>Em Dia</v>
      </c>
    </row>
    <row r="42" spans="11:24" x14ac:dyDescent="0.5">
      <c r="K42" t="str">
        <v xml:space="preserve">HOSPITAL NORTE D OR DE CASCADURA S.A    </v>
      </c>
      <c r="L42" s="46">
        <v>444.17</v>
      </c>
      <c r="M42" s="73">
        <v>1.6474165063170016E-5</v>
      </c>
      <c r="N42" s="73">
        <v>0</v>
      </c>
      <c r="O42" t="str">
        <v>enquadrado</v>
      </c>
    </row>
    <row r="43" spans="11:24" x14ac:dyDescent="0.5">
      <c r="K43" t="str">
        <v xml:space="preserve">HOSPITAL DE CLINICAS RIO MAR BARRA LTDA </v>
      </c>
      <c r="L43" s="46">
        <v>423.11</v>
      </c>
      <c r="M43" s="73">
        <v>1.5693054415826971E-5</v>
      </c>
      <c r="N43" s="73">
        <v>0</v>
      </c>
      <c r="O43" t="str">
        <v>enquadrado</v>
      </c>
    </row>
    <row r="44" spans="11:24" x14ac:dyDescent="0.5">
      <c r="M44" s="73"/>
    </row>
    <row r="45" spans="11:24" x14ac:dyDescent="0.5">
      <c r="M45" s="73"/>
    </row>
    <row r="46" spans="11:24" x14ac:dyDescent="0.5">
      <c r="M46" s="73"/>
    </row>
  </sheetData>
  <dataValidations count="1">
    <dataValidation type="list" allowBlank="1" showInputMessage="1" showErrorMessage="1" sqref="C5" xr:uid="{CB1A37B9-28F9-45BF-90FE-B4023635984D}">
      <formula1>pools_list</formula1>
    </dataValidation>
  </dataValidations>
  <pageMargins left="0.7" right="0.7" top="0.75" bottom="0.75" header="0.3" footer="0.3"/>
  <ignoredErrors>
    <ignoredError sqref="C6:C8 H4:I4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412C-3163-4EA2-9ADB-DE3A2F487788}">
  <sheetPr codeName="Sheet3"/>
  <dimension ref="A1:D43"/>
  <sheetViews>
    <sheetView showGridLines="0" zoomScale="70" zoomScaleNormal="70" workbookViewId="0">
      <selection activeCell="D3" sqref="D3"/>
    </sheetView>
  </sheetViews>
  <sheetFormatPr defaultRowHeight="15.75" x14ac:dyDescent="0.5"/>
  <cols>
    <col min="1" max="1" width="20.875" bestFit="1" customWidth="1"/>
  </cols>
  <sheetData>
    <row r="1" spans="1:4" x14ac:dyDescent="0.5">
      <c r="A1" s="4" t="s">
        <v>17</v>
      </c>
    </row>
    <row r="2" spans="1:4" x14ac:dyDescent="0.5">
      <c r="A2" t="str">
        <f t="array" ref="A2:A43">ListPools(D2,ignore_lst)</f>
        <v>a55 Cartão Pool #1</v>
      </c>
      <c r="C2" t="s">
        <v>15</v>
      </c>
      <c r="D2" t="str" cm="1">
        <f t="array" ref="D2">AmfiLatestCSV()</f>
        <v>c:\amfi\data\csv\AcompanhamentoDeOportunidades-2025-07-02 09_40_11 -0300.csv</v>
      </c>
    </row>
    <row r="3" spans="1:4" x14ac:dyDescent="0.5">
      <c r="A3" t="str">
        <v>a55 Cartão Pool #2</v>
      </c>
      <c r="C3" t="s">
        <v>16</v>
      </c>
      <c r="D3" t="str" cm="1">
        <f t="array" ref="D3">AmfiLatestXLSX()</f>
        <v>c:\amfi\data\xlsx\Carteira Global 2025-07-02 070049.xlsx</v>
      </c>
    </row>
    <row r="4" spans="1:4" x14ac:dyDescent="0.5">
      <c r="A4" t="str">
        <v>a55 Pool #2</v>
      </c>
    </row>
    <row r="5" spans="1:4" x14ac:dyDescent="0.5">
      <c r="A5" t="str">
        <v>AFA Pool #1</v>
      </c>
    </row>
    <row r="6" spans="1:4" x14ac:dyDescent="0.5">
      <c r="A6" t="str">
        <v>AmFi Alta Liquidez</v>
      </c>
    </row>
    <row r="7" spans="1:4" x14ac:dyDescent="0.5">
      <c r="A7" t="str">
        <v>AmFi Alta Liquidez #2</v>
      </c>
      <c r="D7" s="8" t="s">
        <v>18</v>
      </c>
    </row>
    <row r="8" spans="1:4" x14ac:dyDescent="0.5">
      <c r="A8" t="str">
        <v>AmFi Renda Mensal</v>
      </c>
      <c r="D8" s="8" t="s">
        <v>19</v>
      </c>
    </row>
    <row r="9" spans="1:4" x14ac:dyDescent="0.5">
      <c r="A9" t="str">
        <v>AmFi Renda Mensal #2</v>
      </c>
      <c r="D9" s="8" t="s">
        <v>19</v>
      </c>
    </row>
    <row r="10" spans="1:4" x14ac:dyDescent="0.5">
      <c r="A10" t="str">
        <v>B.Invest Pool #1</v>
      </c>
      <c r="D10" s="8" t="s">
        <v>20</v>
      </c>
    </row>
    <row r="11" spans="1:4" x14ac:dyDescent="0.5">
      <c r="A11" t="str">
        <v>Baru Pool #2</v>
      </c>
      <c r="D11" s="8" t="s">
        <v>30</v>
      </c>
    </row>
    <row r="12" spans="1:4" x14ac:dyDescent="0.5">
      <c r="A12" t="str">
        <v>Blipay Pool #1</v>
      </c>
      <c r="D12" s="8"/>
    </row>
    <row r="13" spans="1:4" x14ac:dyDescent="0.5">
      <c r="A13" t="str">
        <v>Blipay Pool #2</v>
      </c>
      <c r="D13" s="8"/>
    </row>
    <row r="14" spans="1:4" x14ac:dyDescent="0.5">
      <c r="A14" t="str">
        <v>BMDC Pool #1</v>
      </c>
      <c r="D14" s="8"/>
    </row>
    <row r="15" spans="1:4" x14ac:dyDescent="0.5">
      <c r="A15" t="str">
        <v>Chronos Pool #1</v>
      </c>
      <c r="D15" s="8"/>
    </row>
    <row r="16" spans="1:4" x14ac:dyDescent="0.5">
      <c r="A16" t="str">
        <v>Credmei Pool #1</v>
      </c>
    </row>
    <row r="17" spans="1:1" x14ac:dyDescent="0.5">
      <c r="A17" t="str">
        <v>Credmei Pool #2</v>
      </c>
    </row>
    <row r="18" spans="1:1" x14ac:dyDescent="0.5">
      <c r="A18" t="str">
        <v>Digcap Pool #2</v>
      </c>
    </row>
    <row r="19" spans="1:1" x14ac:dyDescent="0.5">
      <c r="A19" t="str">
        <v>Digcap Pool #3</v>
      </c>
    </row>
    <row r="20" spans="1:1" x14ac:dyDescent="0.5">
      <c r="A20" t="str">
        <v>Digcap Pool #4</v>
      </c>
    </row>
    <row r="21" spans="1:1" x14ac:dyDescent="0.5">
      <c r="A21" t="str">
        <v>Dinie Pool #2</v>
      </c>
    </row>
    <row r="22" spans="1:1" x14ac:dyDescent="0.5">
      <c r="A22" t="str">
        <v>DS Pool #1</v>
      </c>
    </row>
    <row r="23" spans="1:1" x14ac:dyDescent="0.5">
      <c r="A23" t="str">
        <v>DS Pool #2</v>
      </c>
    </row>
    <row r="24" spans="1:1" x14ac:dyDescent="0.5">
      <c r="A24" t="str">
        <v>E-ctare Pool #1</v>
      </c>
    </row>
    <row r="25" spans="1:1" x14ac:dyDescent="0.5">
      <c r="A25" t="str">
        <v>Faighus Pool #1</v>
      </c>
    </row>
    <row r="26" spans="1:1" x14ac:dyDescent="0.5">
      <c r="A26" t="str">
        <v>Formento Pool #2</v>
      </c>
    </row>
    <row r="27" spans="1:1" x14ac:dyDescent="0.5">
      <c r="A27" t="str">
        <v>Formento Pool #3</v>
      </c>
    </row>
    <row r="28" spans="1:1" x14ac:dyDescent="0.5">
      <c r="A28" t="str">
        <v>Formento Pool #4</v>
      </c>
    </row>
    <row r="29" spans="1:1" x14ac:dyDescent="0.5">
      <c r="A29" t="str">
        <v>LC Investe Pool #2</v>
      </c>
    </row>
    <row r="30" spans="1:1" x14ac:dyDescent="0.5">
      <c r="A30" t="str">
        <v>LeCapital Pool #1</v>
      </c>
    </row>
    <row r="31" spans="1:1" x14ac:dyDescent="0.5">
      <c r="A31" t="str">
        <v>Maralto Pool #2</v>
      </c>
    </row>
    <row r="32" spans="1:1" x14ac:dyDescent="0.5">
      <c r="A32" t="str">
        <v>Poenatela Pool #1</v>
      </c>
    </row>
    <row r="33" spans="1:1" x14ac:dyDescent="0.5">
      <c r="A33" t="str">
        <v>Pool Maralto #1</v>
      </c>
    </row>
    <row r="34" spans="1:1" x14ac:dyDescent="0.5">
      <c r="A34" t="str">
        <v>Pool Nexo #1</v>
      </c>
    </row>
    <row r="35" spans="1:1" x14ac:dyDescent="0.5">
      <c r="A35" t="str">
        <v>Pool Nexo #2</v>
      </c>
    </row>
    <row r="36" spans="1:1" x14ac:dyDescent="0.5">
      <c r="A36" t="str">
        <v xml:space="preserve">Price Pool #1 </v>
      </c>
    </row>
    <row r="37" spans="1:1" x14ac:dyDescent="0.5">
      <c r="A37" t="str">
        <v>SuperSim Pool #1</v>
      </c>
    </row>
    <row r="38" spans="1:1" x14ac:dyDescent="0.5">
      <c r="A38" t="str">
        <v>UnionNational Pool #3</v>
      </c>
    </row>
    <row r="39" spans="1:1" x14ac:dyDescent="0.5">
      <c r="A39" t="str">
        <v>UnionNational Pool #4</v>
      </c>
    </row>
    <row r="40" spans="1:1" x14ac:dyDescent="0.5">
      <c r="A40" t="str">
        <v>UnionNational Pool #5</v>
      </c>
    </row>
    <row r="41" spans="1:1" x14ac:dyDescent="0.5">
      <c r="A41" t="str">
        <v>Up Vendas #1</v>
      </c>
    </row>
    <row r="42" spans="1:1" x14ac:dyDescent="0.5">
      <c r="A42" t="str">
        <v>Up Vendas Pool #2</v>
      </c>
    </row>
    <row r="43" spans="1:1" x14ac:dyDescent="0.5">
      <c r="A43" t="str">
        <v>Zero Paralelo Pool #1</v>
      </c>
    </row>
  </sheetData>
  <sortState xmlns:xlrd2="http://schemas.microsoft.com/office/spreadsheetml/2017/richdata2" ref="D7:D11">
    <sortCondition ref="D7:D1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5"/>
  <cols>
    <col min="1" max="1" width="14.6875" style="1" customWidth="1"/>
    <col min="2" max="2" width="9.1875" style="1" customWidth="1"/>
    <col min="3" max="16384" width="8.875" style="1"/>
  </cols>
  <sheetData>
    <row r="1" spans="1:2" x14ac:dyDescent="0.5">
      <c r="A1" s="1" t="s">
        <v>8</v>
      </c>
      <c r="B1" s="1" t="s">
        <v>13</v>
      </c>
    </row>
    <row r="2" spans="1:2" x14ac:dyDescent="0.5">
      <c r="A2" s="1" t="s">
        <v>9</v>
      </c>
    </row>
    <row r="3" spans="1:2" x14ac:dyDescent="0.5">
      <c r="A3" s="1" t="s">
        <v>0</v>
      </c>
    </row>
    <row r="4" spans="1:2" x14ac:dyDescent="0.5">
      <c r="A4" s="1" t="s">
        <v>7</v>
      </c>
    </row>
    <row r="5" spans="1:2" x14ac:dyDescent="0.5">
      <c r="A5" s="1" t="s">
        <v>5</v>
      </c>
    </row>
    <row r="6" spans="1:2" x14ac:dyDescent="0.5">
      <c r="A6" s="1" t="s">
        <v>1</v>
      </c>
    </row>
    <row r="7" spans="1:2" x14ac:dyDescent="0.5">
      <c r="A7" s="1" t="s">
        <v>2</v>
      </c>
      <c r="B7" s="1" t="b">
        <v>0</v>
      </c>
    </row>
    <row r="8" spans="1:2" x14ac:dyDescent="0.5">
      <c r="A8" s="1" t="s">
        <v>3</v>
      </c>
      <c r="B8" s="1" t="b">
        <v>0</v>
      </c>
    </row>
    <row r="9" spans="1:2" x14ac:dyDescent="0.5">
      <c r="A9" s="1" t="s">
        <v>14</v>
      </c>
      <c r="B9" s="1" t="b">
        <v>0</v>
      </c>
    </row>
    <row r="13" spans="1:2" x14ac:dyDescent="0.5">
      <c r="A13" s="2" t="s">
        <v>4</v>
      </c>
    </row>
    <row r="14" spans="1:2" x14ac:dyDescent="0.5">
      <c r="A14" s="1" t="s">
        <v>10</v>
      </c>
    </row>
    <row r="15" spans="1:2" x14ac:dyDescent="0.5">
      <c r="A15" s="1" t="s">
        <v>11</v>
      </c>
    </row>
    <row r="16" spans="1:2" x14ac:dyDescent="0.5">
      <c r="A16" s="1" t="s">
        <v>6</v>
      </c>
    </row>
    <row r="17" spans="1:1" x14ac:dyDescent="0.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Analysis</vt:lpstr>
      <vt:lpstr>aux</vt:lpstr>
      <vt:lpstr>_xlwings.conf</vt:lpstr>
      <vt:lpstr>dahsboard_header</vt:lpstr>
      <vt:lpstr>dashboard</vt:lpstr>
      <vt:lpstr>dashboard_filepath</vt:lpstr>
      <vt:lpstr>dtRef</vt:lpstr>
      <vt:lpstr>ignore_lst</vt:lpstr>
      <vt:lpstr>portfolio_filepath</vt:lpstr>
      <vt:lpstr>selected_pool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Fabio Moriya</cp:lastModifiedBy>
  <dcterms:created xsi:type="dcterms:W3CDTF">2015-01-25T11:31:25Z</dcterms:created>
  <dcterms:modified xsi:type="dcterms:W3CDTF">2025-07-07T17:03:17Z</dcterms:modified>
</cp:coreProperties>
</file>